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rranjan/Downloads/"/>
    </mc:Choice>
  </mc:AlternateContent>
  <xr:revisionPtr revIDLastSave="0" documentId="13_ncr:1_{D87C08EB-9A88-0143-B97B-05C63DB0EA8F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BP" sheetId="1" r:id="rId1"/>
    <sheet name="BW_" sheetId="2" state="hidden" r:id="rId2"/>
    <sheet name="Partner Onboarding" sheetId="3" r:id="rId3"/>
    <sheet name="Support Activities " sheetId="6" r:id="rId4"/>
    <sheet name="HO Core Team " sheetId="4" r:id="rId5"/>
  </sheets>
  <definedNames>
    <definedName name="_xlnm._FilterDatabase" localSheetId="0" hidden="1">BP!$A$2:$P$209</definedName>
    <definedName name="_xlnm._FilterDatabase" localSheetId="2" hidden="1">'Partner Onboarding'!$A$2:$Q$71</definedName>
    <definedName name="_xlnm._FilterDatabase" localSheetId="3" hidden="1">'Support Activities '!$A$2:$M$128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J13" i="1"/>
  <c r="J14" i="1" s="1"/>
  <c r="J15" i="1" s="1"/>
  <c r="J16" i="1" s="1"/>
  <c r="J17" i="1" s="1"/>
  <c r="K9" i="1"/>
  <c r="J9" i="1"/>
  <c r="I7" i="1"/>
  <c r="K7" i="1" s="1"/>
  <c r="H7" i="1"/>
  <c r="J7" i="1" s="1"/>
  <c r="K6" i="1"/>
  <c r="J6" i="1"/>
  <c r="K5" i="1"/>
  <c r="J5" i="1"/>
  <c r="J18" i="1" l="1"/>
  <c r="J19" i="1" s="1"/>
  <c r="J20" i="1" s="1"/>
  <c r="J21" i="1" s="1"/>
  <c r="J22" i="1" s="1"/>
  <c r="J23" i="1" s="1"/>
  <c r="J67" i="3" l="1"/>
  <c r="J68" i="3" s="1"/>
  <c r="J69" i="3" s="1"/>
  <c r="J70" i="3" s="1"/>
  <c r="J71" i="3" s="1"/>
  <c r="J24" i="3"/>
  <c r="J25" i="3" s="1"/>
  <c r="J26" i="3" s="1"/>
  <c r="J27" i="3" s="1"/>
  <c r="J28" i="3" s="1"/>
  <c r="J11" i="3"/>
  <c r="J12" i="3" s="1"/>
  <c r="J13" i="3" s="1"/>
  <c r="J14" i="3" s="1"/>
  <c r="K66" i="3"/>
  <c r="K67" i="3" s="1"/>
  <c r="K68" i="3" s="1"/>
  <c r="K69" i="3" s="1"/>
  <c r="K70" i="3" s="1"/>
  <c r="K71" i="3" s="1"/>
  <c r="K23" i="3"/>
  <c r="K24" i="3" s="1"/>
  <c r="K25" i="3" s="1"/>
  <c r="K26" i="3" s="1"/>
  <c r="K27" i="3" s="1"/>
  <c r="K28" i="3" s="1"/>
  <c r="K11" i="3"/>
  <c r="K12" i="3" s="1"/>
  <c r="K13" i="3" s="1"/>
  <c r="K14" i="3" s="1"/>
  <c r="B201" i="1" l="1"/>
  <c r="B205" i="1"/>
</calcChain>
</file>

<file path=xl/sharedStrings.xml><?xml version="1.0" encoding="utf-8"?>
<sst xmlns="http://schemas.openxmlformats.org/spreadsheetml/2006/main" count="1684" uniqueCount="580">
  <si>
    <t>Milestone</t>
  </si>
  <si>
    <t>Sub-Milestone</t>
  </si>
  <si>
    <t>Activities</t>
  </si>
  <si>
    <t>Activity Code</t>
  </si>
  <si>
    <t>Key Milestones Flag</t>
  </si>
  <si>
    <t>Target Start Date</t>
  </si>
  <si>
    <t>Target Finish Date - Aggressive</t>
  </si>
  <si>
    <t>Target Finish Date - Realistic</t>
  </si>
  <si>
    <t xml:space="preserve">Duration </t>
  </si>
  <si>
    <t xml:space="preserve">Actual Start Date </t>
  </si>
  <si>
    <t xml:space="preserve">Actual Completion Date </t>
  </si>
  <si>
    <t xml:space="preserve">Status </t>
  </si>
  <si>
    <t>POC</t>
  </si>
  <si>
    <t xml:space="preserve">Remark </t>
  </si>
  <si>
    <t>1-Contract formalization</t>
  </si>
  <si>
    <t>Issue of allottment letter</t>
  </si>
  <si>
    <t>Agreement Signing</t>
  </si>
  <si>
    <t>A-1</t>
  </si>
  <si>
    <t>Completed</t>
  </si>
  <si>
    <t>PPD</t>
  </si>
  <si>
    <t>2- Preliminery activities</t>
  </si>
  <si>
    <t xml:space="preserve">DGPS Survey </t>
  </si>
  <si>
    <t>Collection of Cadestral Map,revenue records etc</t>
  </si>
  <si>
    <t>Digitization of Map</t>
  </si>
  <si>
    <t>3-Mining Plan &amp; Mine closure Plan</t>
  </si>
  <si>
    <t>Regiter in SWCS Portal</t>
  </si>
  <si>
    <t>Nominate Authorized Personnel</t>
  </si>
  <si>
    <t>MP1</t>
  </si>
  <si>
    <t>Register in SWCS portal (Authorised Personnel)</t>
  </si>
  <si>
    <t>MP2</t>
  </si>
  <si>
    <t>Obtain Login Credentials</t>
  </si>
  <si>
    <t>MP3</t>
  </si>
  <si>
    <t>In-progress</t>
  </si>
  <si>
    <t>Internal Review of Coal Mining Plan</t>
  </si>
  <si>
    <t>Submission of draft mine plan to GMDC by third party consultant</t>
  </si>
  <si>
    <t>MP4</t>
  </si>
  <si>
    <t>PPD + GEO</t>
  </si>
  <si>
    <t>Expert Reviewer's comments incorporation</t>
  </si>
  <si>
    <t>MP5</t>
  </si>
  <si>
    <t>Pre-check from Expert reviewer before submission</t>
  </si>
  <si>
    <t>MP6</t>
  </si>
  <si>
    <t>Addressal of Expert Reviewer's comments</t>
  </si>
  <si>
    <t>MP7</t>
  </si>
  <si>
    <t>Re-sharing the draft after addressing the comments</t>
  </si>
  <si>
    <t>MP8</t>
  </si>
  <si>
    <t>Go ahead from GMDC</t>
  </si>
  <si>
    <t>MP9</t>
  </si>
  <si>
    <t>Submission of Coal Mining Plan</t>
  </si>
  <si>
    <t>Submission of reviewed Mining plan in the portal</t>
  </si>
  <si>
    <t>MP10</t>
  </si>
  <si>
    <t>Scrutiny comments from MoC</t>
  </si>
  <si>
    <t>MP11</t>
  </si>
  <si>
    <t>Addressal of scrutiny comments from MoC</t>
  </si>
  <si>
    <t>MP12</t>
  </si>
  <si>
    <t>Final copies submission after addressing the comments</t>
  </si>
  <si>
    <t>MP13</t>
  </si>
  <si>
    <t>Approval of mining plan by MoC</t>
  </si>
  <si>
    <t>MP14</t>
  </si>
  <si>
    <t>4-Forest Clearance &amp; Environment Clearance</t>
  </si>
  <si>
    <t>Forest clearance</t>
  </si>
  <si>
    <r>
      <rPr>
        <sz val="11"/>
        <rFont val="Calibri"/>
        <family val="1"/>
      </rPr>
      <t>Prepare Form A for online registration of Forest Diversion proposal</t>
    </r>
  </si>
  <si>
    <r>
      <rPr>
        <sz val="11"/>
        <rFont val="Calibri"/>
        <family val="1"/>
      </rPr>
      <t>Scrutiny at APCCF Office and Approval of online proposal</t>
    </r>
  </si>
  <si>
    <r>
      <rPr>
        <sz val="11"/>
        <rFont val="Calibri"/>
        <family val="1"/>
      </rPr>
      <t>Submit Physical copy of Application to DFO</t>
    </r>
  </si>
  <si>
    <r>
      <rPr>
        <sz val="11"/>
        <rFont val="Calibri"/>
        <family val="1"/>
      </rPr>
      <t>Processing of Forest Proposal as per Checklist by DFO</t>
    </r>
  </si>
  <si>
    <r>
      <rPr>
        <sz val="11"/>
        <rFont val="Calibri"/>
        <family val="1"/>
      </rPr>
      <t>DFO Review and forwards the proposal to CF</t>
    </r>
  </si>
  <si>
    <r>
      <rPr>
        <sz val="11"/>
        <rFont val="Calibri"/>
        <family val="1"/>
      </rPr>
      <t>CF/CCF Reviews of PART II Documents</t>
    </r>
  </si>
  <si>
    <r>
      <rPr>
        <sz val="11"/>
        <rFont val="Calibri"/>
        <family val="1"/>
      </rPr>
      <t>CF/ CCF inspection of Site</t>
    </r>
  </si>
  <si>
    <r>
      <rPr>
        <sz val="11"/>
        <rFont val="Calibri"/>
        <family val="1"/>
      </rPr>
      <t>CF/CCF rocommendation for PART III</t>
    </r>
  </si>
  <si>
    <r>
      <rPr>
        <sz val="11"/>
        <rFont val="Calibri"/>
        <family val="1"/>
      </rPr>
      <t>APCCF Reviews PART III</t>
    </r>
  </si>
  <si>
    <r>
      <rPr>
        <sz val="11"/>
        <rFont val="Calibri"/>
        <family val="1"/>
      </rPr>
      <t>APCCF recommend Part IV to PCCF</t>
    </r>
  </si>
  <si>
    <r>
      <rPr>
        <sz val="11"/>
        <rFont val="Calibri"/>
        <family val="1"/>
      </rPr>
      <t>PCCF recommend Part IV to Secretary (Forest)</t>
    </r>
  </si>
  <si>
    <r>
      <rPr>
        <sz val="11"/>
        <rFont val="Calibri"/>
        <family val="1"/>
      </rPr>
      <t>Secretory (Forest) Reviews of PART IV</t>
    </r>
  </si>
  <si>
    <r>
      <rPr>
        <sz val="11"/>
        <rFont val="Calibri"/>
        <family val="1"/>
      </rPr>
      <t>Secretory seeks approval from state forest minister</t>
    </r>
  </si>
  <si>
    <r>
      <rPr>
        <sz val="11"/>
        <rFont val="Calibri"/>
        <family val="1"/>
      </rPr>
      <t>Secretary Forest recommends Part V to MoEF</t>
    </r>
  </si>
  <si>
    <r>
      <rPr>
        <sz val="11"/>
        <rFont val="Calibri"/>
        <family val="1"/>
      </rPr>
      <t>MoEF Reviews Part V</t>
    </r>
  </si>
  <si>
    <r>
      <rPr>
        <sz val="11"/>
        <rFont val="Calibri"/>
        <family val="1"/>
      </rPr>
      <t>MoEF Directs regional MoEF for site inspection</t>
    </r>
  </si>
  <si>
    <r>
      <rPr>
        <sz val="11"/>
        <rFont val="Calibri"/>
        <family val="1"/>
      </rPr>
      <t>Site Inspection and Report Submission by Regional MoEF</t>
    </r>
  </si>
  <si>
    <r>
      <rPr>
        <sz val="11"/>
        <rFont val="Calibri"/>
        <family val="1"/>
      </rPr>
      <t>Presentation to FAC</t>
    </r>
  </si>
  <si>
    <r>
      <rPr>
        <sz val="11"/>
        <rFont val="Calibri"/>
        <family val="1"/>
      </rPr>
      <t>FAC recommends the proposal to MoEF for Stage-1</t>
    </r>
  </si>
  <si>
    <r>
      <rPr>
        <sz val="11"/>
        <rFont val="Calibri"/>
        <family val="1"/>
      </rPr>
      <t>FC Stage I Approval from MoEF</t>
    </r>
  </si>
  <si>
    <r>
      <rPr>
        <sz val="11"/>
        <rFont val="Calibri"/>
        <family val="1"/>
      </rPr>
      <t>APCCF seeks FC I compliance from DFO/ CF/CCF</t>
    </r>
  </si>
  <si>
    <r>
      <rPr>
        <sz val="11"/>
        <rFont val="Calibri"/>
        <family val="1"/>
      </rPr>
      <t>DFO raises demand note for NPV, CA Scheme</t>
    </r>
  </si>
  <si>
    <r>
      <rPr>
        <sz val="11"/>
        <rFont val="Calibri"/>
        <family val="1"/>
      </rPr>
      <t>Submit payment against demand note</t>
    </r>
  </si>
  <si>
    <r>
      <rPr>
        <sz val="11"/>
        <rFont val="Calibri"/>
        <family val="1"/>
      </rPr>
      <t>Submit FC I compliance report to DFO</t>
    </r>
  </si>
  <si>
    <r>
      <rPr>
        <sz val="11"/>
        <rFont val="Calibri"/>
        <family val="1"/>
      </rPr>
      <t>DFO reviews&amp; forwards compliance report to CF/CCF</t>
    </r>
  </si>
  <si>
    <r>
      <rPr>
        <sz val="11"/>
        <rFont val="Calibri"/>
        <family val="1"/>
      </rPr>
      <t>CF/CCF reviews&amp; forwards Compliance report to PCCF</t>
    </r>
  </si>
  <si>
    <r>
      <rPr>
        <sz val="11"/>
        <rFont val="Calibri"/>
        <family val="1"/>
      </rPr>
      <t>PCCF reviews&amp; forward compliance report to Secretory (Forest)</t>
    </r>
  </si>
  <si>
    <r>
      <rPr>
        <sz val="11"/>
        <rFont val="Calibri"/>
        <family val="1"/>
      </rPr>
      <t>Secretory (Forest) reviews&amp; forward compliance report to MoEF</t>
    </r>
  </si>
  <si>
    <t>DGPS Survey of Complete Area</t>
  </si>
  <si>
    <r>
      <rPr>
        <b/>
        <sz val="11"/>
        <rFont val="Calibri"/>
        <family val="1"/>
      </rPr>
      <t>Grant of Forest Clearance from State</t>
    </r>
  </si>
  <si>
    <t xml:space="preserve"> Forest Right (FRA NOC)</t>
  </si>
  <si>
    <r>
      <rPr>
        <sz val="11"/>
        <rFont val="Calibri"/>
        <family val="1"/>
      </rPr>
      <t>Submission of application to Collector to start the FRA Process</t>
    </r>
  </si>
  <si>
    <r>
      <rPr>
        <sz val="11"/>
        <rFont val="Calibri"/>
        <family val="1"/>
      </rPr>
      <t>Collector advises SDM/Tehsildar to start the FRA Process</t>
    </r>
  </si>
  <si>
    <r>
      <rPr>
        <sz val="11"/>
        <rFont val="Calibri"/>
        <family val="1"/>
      </rPr>
      <t>Conduct of Gram Sabha at each Village /report of Sarpanch/secretary of grampanchayat for FRA consent</t>
    </r>
  </si>
  <si>
    <r>
      <rPr>
        <sz val="11"/>
        <rFont val="Calibri"/>
        <family val="1"/>
      </rPr>
      <t>Gram Sabha Resolution and NOC from Village level (FRC) along with the list of Claimant</t>
    </r>
  </si>
  <si>
    <r>
      <rPr>
        <sz val="11"/>
        <rFont val="Calibri"/>
        <family val="1"/>
      </rPr>
      <t>Proposal forwarded to Sub Divisional Level Committee through Tehsildar along with report</t>
    </r>
  </si>
  <si>
    <r>
      <rPr>
        <sz val="11"/>
        <rFont val="Calibri"/>
        <family val="1"/>
      </rPr>
      <t>Recommendation from Sub Division Level (Forest Rights) Committee</t>
    </r>
  </si>
  <si>
    <r>
      <rPr>
        <sz val="11"/>
        <rFont val="Calibri"/>
        <family val="1"/>
      </rPr>
      <t>Recommendation from District Level Committee Consist of Collector, DFO, Asst. Commissioner (Tribal Development)</t>
    </r>
  </si>
  <si>
    <r>
      <rPr>
        <sz val="11"/>
        <rFont val="Calibri"/>
        <family val="1"/>
      </rPr>
      <t>District level committee issue Forest Rights Certificates</t>
    </r>
  </si>
  <si>
    <r>
      <rPr>
        <sz val="11"/>
        <rFont val="Calibri"/>
        <family val="1"/>
      </rPr>
      <t>Grant of FRA NOC by Collector</t>
    </r>
  </si>
  <si>
    <t>Compensatory Afforestation</t>
  </si>
  <si>
    <r>
      <rPr>
        <sz val="11"/>
        <rFont val="Calibri"/>
        <family val="1"/>
      </rPr>
      <t>Identification of CA Land (Revenue Govt. Land/ Revenue Forest Land)</t>
    </r>
  </si>
  <si>
    <r>
      <rPr>
        <sz val="11"/>
        <rFont val="Calibri"/>
        <family val="1"/>
      </rPr>
      <t>Application to Collector for NOC for CA Land</t>
    </r>
  </si>
  <si>
    <r>
      <rPr>
        <sz val="11"/>
        <rFont val="Calibri"/>
        <family val="1"/>
      </rPr>
      <t>Conduct Gram Sabh in concerned villages</t>
    </r>
  </si>
  <si>
    <r>
      <rPr>
        <sz val="11"/>
        <rFont val="Calibri"/>
        <family val="1"/>
      </rPr>
      <t>Obtain NoC from Collector</t>
    </r>
  </si>
  <si>
    <r>
      <rPr>
        <sz val="11"/>
        <rFont val="Calibri"/>
        <family val="1"/>
      </rPr>
      <t>Completion of DGPS Survey for CA Land</t>
    </r>
  </si>
  <si>
    <r>
      <rPr>
        <sz val="11"/>
        <rFont val="Calibri"/>
        <family val="1"/>
      </rPr>
      <t>Submission of DGPS report to DFO/ Checking of DSS System</t>
    </r>
  </si>
  <si>
    <r>
      <rPr>
        <sz val="11"/>
        <rFont val="Calibri"/>
        <family val="1"/>
      </rPr>
      <t>Suitability Certificate from DFO/CCF</t>
    </r>
  </si>
  <si>
    <r>
      <rPr>
        <sz val="11"/>
        <rFont val="Calibri"/>
        <family val="1"/>
      </rPr>
      <t>Preparation of CA Scheme</t>
    </r>
  </si>
  <si>
    <r>
      <rPr>
        <sz val="11"/>
        <rFont val="Calibri"/>
        <family val="1"/>
      </rPr>
      <t>Approval of CA Scheme (Technical Vetting by CF/CCF)</t>
    </r>
  </si>
  <si>
    <r>
      <rPr>
        <sz val="11"/>
        <rFont val="Calibri"/>
        <family val="1"/>
      </rPr>
      <t>Application for Transfer and mutation of CA Land to Collector</t>
    </r>
  </si>
  <si>
    <r>
      <rPr>
        <sz val="11"/>
        <rFont val="Calibri"/>
        <family val="1"/>
      </rPr>
      <t>Collector directs SDM/Tehsildar to submit report on the land</t>
    </r>
  </si>
  <si>
    <r>
      <rPr>
        <sz val="11"/>
        <rFont val="Calibri"/>
        <family val="1"/>
      </rPr>
      <t>SDM/ Tehsildar recommends to collector for mutation of the land</t>
    </r>
  </si>
  <si>
    <r>
      <rPr>
        <sz val="11"/>
        <rFont val="Calibri"/>
        <family val="1"/>
      </rPr>
      <t>Collector Directs SDM/Tehsildar complete the mutation process</t>
    </r>
  </si>
  <si>
    <t xml:space="preserve"> Tree Enumeration</t>
  </si>
  <si>
    <r>
      <rPr>
        <sz val="11"/>
        <rFont val="Calibri"/>
        <family val="1"/>
      </rPr>
      <t>Letter from DFO to FMIS for Grid Maps, Stock Maps etc.</t>
    </r>
  </si>
  <si>
    <r>
      <rPr>
        <sz val="11"/>
        <rFont val="Calibri"/>
        <family val="1"/>
      </rPr>
      <t>Letter from FMIS for Demand Note for the Cost of Maps</t>
    </r>
  </si>
  <si>
    <r>
      <rPr>
        <sz val="11"/>
        <rFont val="Calibri"/>
        <family val="1"/>
      </rPr>
      <t>Depositing Fees at FMIS for maps</t>
    </r>
  </si>
  <si>
    <r>
      <rPr>
        <sz val="11"/>
        <rFont val="Calibri"/>
        <family val="1"/>
      </rPr>
      <t>Issue of Grid Maps, Stock Maps by FMIS</t>
    </r>
  </si>
  <si>
    <r>
      <rPr>
        <sz val="11"/>
        <rFont val="Calibri"/>
        <family val="1"/>
      </rPr>
      <t>DFO forwards letter to ROs for formation of Tree Enemuration Commi</t>
    </r>
  </si>
  <si>
    <r>
      <rPr>
        <sz val="11"/>
        <rFont val="Calibri"/>
        <family val="1"/>
      </rPr>
      <t>RO form the committe for tree enemuration</t>
    </r>
  </si>
  <si>
    <r>
      <rPr>
        <sz val="11"/>
        <rFont val="Calibri"/>
        <family val="1"/>
      </rPr>
      <t>Mobilization of Tree Enumeration committes (Starting of Tree enumer</t>
    </r>
  </si>
  <si>
    <r>
      <rPr>
        <sz val="11"/>
        <rFont val="Calibri"/>
        <family val="1"/>
      </rPr>
      <t>Tree Enumeration report preprared by committee and forwards to DF</t>
    </r>
  </si>
  <si>
    <r>
      <rPr>
        <sz val="11"/>
        <rFont val="Calibri"/>
        <family val="1"/>
      </rPr>
      <t>DFO Review and approves the report</t>
    </r>
  </si>
  <si>
    <r>
      <rPr>
        <sz val="11"/>
        <rFont val="Calibri"/>
        <family val="1"/>
      </rPr>
      <t>Tree Enumeration Completed</t>
    </r>
  </si>
  <si>
    <t>Wild Life Conservation Plan (WLCP)</t>
  </si>
  <si>
    <r>
      <rPr>
        <sz val="11"/>
        <rFont val="Calibri"/>
        <family val="1"/>
      </rPr>
      <t>Preparation and Submission of WLCP to DFO</t>
    </r>
  </si>
  <si>
    <r>
      <rPr>
        <sz val="11"/>
        <rFont val="Calibri"/>
        <family val="1"/>
      </rPr>
      <t>CF/CCF recommend the WLCP to Chief Wild Life Warden (CWLW)</t>
    </r>
  </si>
  <si>
    <r>
      <rPr>
        <sz val="11"/>
        <rFont val="Calibri"/>
        <family val="1"/>
      </rPr>
      <t>Approval of WLCP by State Govt.(Chief Wild Life Warden)</t>
    </r>
  </si>
  <si>
    <t>Forest Land Tree Felling and Physical Possession</t>
  </si>
  <si>
    <r>
      <rPr>
        <sz val="11"/>
        <rFont val="Calibri"/>
        <family val="1"/>
      </rPr>
      <t>Application for Tree Felling Permission to DFO</t>
    </r>
  </si>
  <si>
    <r>
      <rPr>
        <sz val="11"/>
        <rFont val="Calibri"/>
        <family val="1"/>
      </rPr>
      <t>DFO Issues letter to Forest Ranger for tree enumeration</t>
    </r>
  </si>
  <si>
    <r>
      <rPr>
        <sz val="11"/>
        <rFont val="Calibri"/>
        <family val="1"/>
      </rPr>
      <t>DFO issue the marking hammer to Ranger officer</t>
    </r>
  </si>
  <si>
    <r>
      <rPr>
        <sz val="11"/>
        <rFont val="Calibri"/>
        <family val="1"/>
      </rPr>
      <t>Range officer directs deputy ranger to start Enumeration</t>
    </r>
  </si>
  <si>
    <r>
      <rPr>
        <sz val="11"/>
        <rFont val="Calibri"/>
        <family val="1"/>
      </rPr>
      <t>Deputy ranger submit tree enumeration list to Ranger</t>
    </r>
  </si>
  <si>
    <r>
      <rPr>
        <sz val="11"/>
        <rFont val="Calibri"/>
        <family val="1"/>
      </rPr>
      <t>Ranger submit enemuration list to SDO</t>
    </r>
  </si>
  <si>
    <r>
      <rPr>
        <sz val="11"/>
        <rFont val="Calibri"/>
        <family val="1"/>
      </rPr>
      <t>SDO Submit enemuration list to DFO</t>
    </r>
  </si>
  <si>
    <r>
      <rPr>
        <sz val="11"/>
        <rFont val="Calibri"/>
        <family val="1"/>
      </rPr>
      <t>DFO recommend application to APCCF Production</t>
    </r>
  </si>
  <si>
    <r>
      <rPr>
        <sz val="11"/>
        <rFont val="Calibri"/>
        <family val="1"/>
      </rPr>
      <t>APCCF Production approves tree felling permission to DFO</t>
    </r>
  </si>
  <si>
    <r>
      <rPr>
        <sz val="11"/>
        <rFont val="Calibri"/>
        <family val="1"/>
      </rPr>
      <t>DFO estimates cost of tree felling</t>
    </r>
  </si>
  <si>
    <r>
      <rPr>
        <sz val="11"/>
        <rFont val="Calibri"/>
        <family val="1"/>
      </rPr>
      <t>DFO raises the demand note to user agency</t>
    </r>
  </si>
  <si>
    <r>
      <rPr>
        <sz val="11"/>
        <rFont val="Calibri"/>
        <family val="1"/>
      </rPr>
      <t>User agency makes payment against demand note</t>
    </r>
  </si>
  <si>
    <r>
      <rPr>
        <sz val="11"/>
        <rFont val="Calibri"/>
        <family val="1"/>
      </rPr>
      <t>DFO permits ranger to start tree felling</t>
    </r>
  </si>
  <si>
    <r>
      <rPr>
        <sz val="11"/>
        <rFont val="Calibri"/>
        <family val="1"/>
      </rPr>
      <t>Ranger writes to DFO to issue Tree Felling Hammer</t>
    </r>
  </si>
  <si>
    <r>
      <rPr>
        <sz val="11"/>
        <rFont val="Calibri"/>
        <family val="1"/>
      </rPr>
      <t>DFO issues Tree felling hammer to Ranger</t>
    </r>
  </si>
  <si>
    <r>
      <rPr>
        <sz val="11"/>
        <rFont val="Calibri"/>
        <family val="1"/>
      </rPr>
      <t>Ranger start tree felling,debarking logging, and transporting</t>
    </r>
  </si>
  <si>
    <r>
      <rPr>
        <sz val="11"/>
        <rFont val="Calibri"/>
        <family val="1"/>
      </rPr>
      <t>Tree Felling for ha</t>
    </r>
  </si>
  <si>
    <r>
      <rPr>
        <sz val="11"/>
        <rFont val="Calibri"/>
        <family val="1"/>
      </rPr>
      <t>User Agency submit application to DFO for taking the posession of felled area with coordinates of same area</t>
    </r>
  </si>
  <si>
    <r>
      <rPr>
        <sz val="11"/>
        <rFont val="Calibri"/>
        <family val="1"/>
      </rPr>
      <t>DFO Grants permission after field visits by ranger (regular)</t>
    </r>
  </si>
  <si>
    <t>Environment Clearance</t>
  </si>
  <si>
    <r>
      <rPr>
        <sz val="11"/>
        <rFont val="Calibri"/>
        <family val="1"/>
      </rPr>
      <t>Preparation of Prefeasibility Report/Form 1</t>
    </r>
  </si>
  <si>
    <r>
      <rPr>
        <sz val="11"/>
        <rFont val="Calibri"/>
        <family val="1"/>
      </rPr>
      <t>On line Submission of Form 1&amp; Prefeasibility Report</t>
    </r>
  </si>
  <si>
    <r>
      <rPr>
        <sz val="11"/>
        <rFont val="Calibri"/>
        <family val="1"/>
      </rPr>
      <t>ToR presentation to EAC</t>
    </r>
  </si>
  <si>
    <r>
      <rPr>
        <sz val="11"/>
        <rFont val="Calibri"/>
        <family val="1"/>
      </rPr>
      <t>ToR Granted by MoEF</t>
    </r>
  </si>
  <si>
    <r>
      <rPr>
        <sz val="11"/>
        <rFont val="Calibri"/>
        <family val="1"/>
      </rPr>
      <t>Baseline Study</t>
    </r>
  </si>
  <si>
    <r>
      <rPr>
        <sz val="11"/>
        <rFont val="Calibri"/>
        <family val="1"/>
      </rPr>
      <t>Draft EIA/EMP preparation</t>
    </r>
  </si>
  <si>
    <r>
      <rPr>
        <sz val="11"/>
        <rFont val="Calibri"/>
        <family val="1"/>
      </rPr>
      <t>EIA/EMP Report submission to Member Secretary, SPCB for PH</t>
    </r>
  </si>
  <si>
    <r>
      <rPr>
        <sz val="11"/>
        <rFont val="Calibri"/>
        <family val="1"/>
      </rPr>
      <t>Notice for Public Hearing by SPCB</t>
    </r>
  </si>
  <si>
    <r>
      <rPr>
        <sz val="11"/>
        <rFont val="Calibri"/>
        <family val="1"/>
      </rPr>
      <t>Conducting Public Hearing</t>
    </r>
  </si>
  <si>
    <r>
      <rPr>
        <sz val="11"/>
        <rFont val="Calibri"/>
        <family val="1"/>
      </rPr>
      <t>SPCB Recommendation of public hearing proceeding to MoEF</t>
    </r>
  </si>
  <si>
    <r>
      <rPr>
        <sz val="11"/>
        <rFont val="Calibri"/>
        <family val="1"/>
      </rPr>
      <t>Preparation of revised EIA/EMP on the basis of Public Hearing MoM</t>
    </r>
  </si>
  <si>
    <r>
      <rPr>
        <sz val="11"/>
        <rFont val="Calibri"/>
        <family val="1"/>
      </rPr>
      <t>Final EIA/ EMP Submission to MoEF</t>
    </r>
  </si>
  <si>
    <r>
      <rPr>
        <sz val="11"/>
        <rFont val="Calibri"/>
        <family val="1"/>
      </rPr>
      <t>Review of EIA/EMP by MoEF</t>
    </r>
  </si>
  <si>
    <r>
      <rPr>
        <sz val="11"/>
        <rFont val="Calibri"/>
        <family val="1"/>
      </rPr>
      <t>Issue of Date for EC Presentation</t>
    </r>
  </si>
  <si>
    <r>
      <rPr>
        <sz val="11"/>
        <rFont val="Calibri"/>
        <family val="1"/>
      </rPr>
      <t>EIA/EMP Presentation to MoEF</t>
    </r>
  </si>
  <si>
    <r>
      <rPr>
        <sz val="11"/>
        <rFont val="Calibri"/>
        <family val="1"/>
      </rPr>
      <t>Grant of Environment Clearance by MoEF</t>
    </r>
  </si>
  <si>
    <t>Mining Lease</t>
  </si>
  <si>
    <r>
      <rPr>
        <sz val="11"/>
        <rFont val="Calibri"/>
        <family val="1"/>
      </rPr>
      <t>Prepare and Submit application for Mining Lease to District Collector/ District Mining Officer</t>
    </r>
  </si>
  <si>
    <r>
      <rPr>
        <sz val="11"/>
        <rFont val="Calibri"/>
        <family val="1"/>
      </rPr>
      <t>Obtain NoC from Tehsildar/ DFO/ Gram Panchayats</t>
    </r>
  </si>
  <si>
    <r>
      <rPr>
        <sz val="11"/>
        <rFont val="Calibri"/>
        <family val="1"/>
      </rPr>
      <t>Collector recommends the application to Director Geology and Mining (DGM)</t>
    </r>
  </si>
  <si>
    <r>
      <rPr>
        <sz val="11"/>
        <rFont val="Calibri"/>
        <family val="1"/>
      </rPr>
      <t>DGM forwards to Secretary MRD (Mineral Resource Department)</t>
    </r>
  </si>
  <si>
    <r>
      <rPr>
        <sz val="11"/>
        <rFont val="Calibri"/>
        <family val="1"/>
      </rPr>
      <t>Secretary MRD recommend for prior approval to Central Govt. (Mo</t>
    </r>
  </si>
  <si>
    <r>
      <rPr>
        <sz val="11"/>
        <rFont val="Calibri"/>
        <family val="1"/>
      </rPr>
      <t>Issuance of Prior Approval by Central Government (MoC)</t>
    </r>
  </si>
  <si>
    <r>
      <rPr>
        <sz val="11"/>
        <rFont val="Calibri"/>
        <family val="1"/>
      </rPr>
      <t>State MRD issues a letter for necessary approval to user agency</t>
    </r>
  </si>
  <si>
    <r>
      <rPr>
        <sz val="11"/>
        <rFont val="Calibri"/>
        <family val="1"/>
      </rPr>
      <t>User agency submit the necessary approvals and request for grant o</t>
    </r>
  </si>
  <si>
    <r>
      <rPr>
        <sz val="11"/>
        <rFont val="Calibri"/>
        <family val="1"/>
      </rPr>
      <t>Secretary, MRD Grant ML to user agency</t>
    </r>
  </si>
  <si>
    <r>
      <rPr>
        <sz val="11"/>
        <rFont val="Calibri"/>
        <family val="1"/>
      </rPr>
      <t>User Agency submit applilcation to collector for execution of ML</t>
    </r>
  </si>
  <si>
    <r>
      <rPr>
        <sz val="11"/>
        <rFont val="Calibri"/>
        <family val="1"/>
      </rPr>
      <t>Execute Mining Lease</t>
    </r>
  </si>
  <si>
    <t>Land Acquisition and R &amp; R</t>
  </si>
  <si>
    <t>Land Acquisition (LARR Act 2013)</t>
  </si>
  <si>
    <r>
      <rPr>
        <sz val="11"/>
        <rFont val="Calibri"/>
        <family val="1"/>
      </rPr>
      <t>Apply to DC u/s 2 (1) of LARR Act, 2013</t>
    </r>
  </si>
  <si>
    <r>
      <rPr>
        <sz val="11"/>
        <rFont val="Calibri"/>
        <family val="1"/>
      </rPr>
      <t>Preliminary investigation for determination of Social Impact&amp; Public Purpose U/S 4(1)</t>
    </r>
  </si>
  <si>
    <r>
      <rPr>
        <sz val="11"/>
        <rFont val="Calibri"/>
        <family val="1"/>
      </rPr>
      <t>Issue of Notice by DC for SIA Study u/s 4(1)</t>
    </r>
  </si>
  <si>
    <r>
      <rPr>
        <sz val="11"/>
        <rFont val="Calibri"/>
        <family val="1"/>
      </rPr>
      <t>Make 4(1) notification available to Panchayat, Muncipality, DC, SDM</t>
    </r>
  </si>
  <si>
    <r>
      <rPr>
        <sz val="11"/>
        <rFont val="Calibri"/>
        <family val="1"/>
      </rPr>
      <t>Publish 4(1) notification in affected area</t>
    </r>
  </si>
  <si>
    <r>
      <rPr>
        <sz val="11"/>
        <rFont val="Calibri"/>
        <family val="1"/>
      </rPr>
      <t>Payment for SIA to DC</t>
    </r>
  </si>
  <si>
    <r>
      <rPr>
        <sz val="11"/>
        <rFont val="Calibri"/>
        <family val="1"/>
      </rPr>
      <t>Start of Social Impact Assessment Study</t>
    </r>
  </si>
  <si>
    <r>
      <rPr>
        <sz val="11"/>
        <rFont val="Calibri"/>
        <family val="1"/>
      </rPr>
      <t>Preparation of SIA/SMP</t>
    </r>
  </si>
  <si>
    <r>
      <rPr>
        <sz val="11"/>
        <rFont val="Calibri"/>
        <family val="1"/>
      </rPr>
      <t>Publicity of Public Hearing u/s 5</t>
    </r>
  </si>
  <si>
    <r>
      <rPr>
        <sz val="11"/>
        <rFont val="Calibri"/>
        <family val="1"/>
      </rPr>
      <t>SIA Public Hearing u/s 5</t>
    </r>
  </si>
  <si>
    <r>
      <rPr>
        <sz val="11"/>
        <rFont val="Calibri"/>
        <family val="1"/>
      </rPr>
      <t>Preparation of Final SIA/SMP u/s sec 5</t>
    </r>
  </si>
  <si>
    <r>
      <rPr>
        <sz val="11"/>
        <rFont val="Calibri"/>
        <family val="1"/>
      </rPr>
      <t>Translation of SIA/SMP in Local Language</t>
    </r>
  </si>
  <si>
    <r>
      <rPr>
        <sz val="11"/>
        <rFont val="Calibri"/>
        <family val="1"/>
      </rPr>
      <t>Publish SIA/SMP in local Language to Panchayat, Municipality, DC,SDM, Tehsil</t>
    </r>
  </si>
  <si>
    <r>
      <rPr>
        <sz val="11"/>
        <rFont val="Calibri"/>
        <family val="1"/>
      </rPr>
      <t>Recommendation by Expert Group u/s 7(6)</t>
    </r>
  </si>
  <si>
    <r>
      <rPr>
        <sz val="11"/>
        <rFont val="Calibri"/>
        <family val="1"/>
      </rPr>
      <t>Make Recommendation available (in Local Language) to Panchayat, Muncipality, DC, SDM,Tehsil</t>
    </r>
  </si>
  <si>
    <r>
      <rPr>
        <sz val="11"/>
        <rFont val="Calibri"/>
        <family val="1"/>
      </rPr>
      <t>Examination of LA Proposal&amp; SIA/SMP by Govt u/s 8</t>
    </r>
  </si>
  <si>
    <r>
      <rPr>
        <sz val="11"/>
        <rFont val="Calibri"/>
        <family val="1"/>
      </rPr>
      <t>Decision of Govt for LA u/s 8(1)</t>
    </r>
  </si>
  <si>
    <r>
      <rPr>
        <sz val="11"/>
        <rFont val="Calibri"/>
        <family val="1"/>
      </rPr>
      <t>Govt Decision to be made available to Panchayat,Muncipality, DC, SDM,Tehsil u/s 8(3)</t>
    </r>
  </si>
  <si>
    <r>
      <rPr>
        <sz val="11"/>
        <rFont val="Calibri"/>
        <family val="1"/>
      </rPr>
      <t>Demand Note for compensation and Service Charges</t>
    </r>
  </si>
  <si>
    <r>
      <rPr>
        <sz val="11"/>
        <rFont val="Calibri"/>
        <family val="1"/>
      </rPr>
      <t>Deposit of money against demand note</t>
    </r>
  </si>
  <si>
    <r>
      <rPr>
        <sz val="11"/>
        <rFont val="Calibri"/>
        <family val="1"/>
      </rPr>
      <t>Publication of Priliminary Notification u/s11 (1)</t>
    </r>
  </si>
  <si>
    <r>
      <rPr>
        <sz val="11"/>
        <rFont val="Calibri"/>
        <family val="1"/>
      </rPr>
      <t>Publication in two daily newspaper, Panchayat, District collector, SDM and Tehsil (Local Language)</t>
    </r>
  </si>
  <si>
    <r>
      <rPr>
        <sz val="11"/>
        <rFont val="Calibri"/>
        <family val="1"/>
      </rPr>
      <t>Publish 11 (1) in affected area (in Local Language)</t>
    </r>
  </si>
  <si>
    <r>
      <rPr>
        <sz val="11"/>
        <rFont val="Calibri"/>
        <family val="1"/>
      </rPr>
      <t>Informed concerned Gram Sabha, Muncipality u/s 11(2)</t>
    </r>
  </si>
  <si>
    <r>
      <rPr>
        <sz val="11"/>
        <rFont val="Calibri"/>
        <family val="1"/>
      </rPr>
      <t>Updation of Land Record by Collector u/s 11(5)</t>
    </r>
  </si>
  <si>
    <r>
      <rPr>
        <sz val="11"/>
        <rFont val="Calibri"/>
        <family val="1"/>
      </rPr>
      <t>Payment for damage during survey u/s 13</t>
    </r>
  </si>
  <si>
    <r>
      <rPr>
        <sz val="11"/>
        <rFont val="Calibri"/>
        <family val="1"/>
      </rPr>
      <t>Hearing of objection u/s 15 (1)</t>
    </r>
  </si>
  <si>
    <r>
      <rPr>
        <sz val="11"/>
        <rFont val="Calibri"/>
        <family val="1"/>
      </rPr>
      <t>Prepare&amp; submit Draft R&amp;R Scheme u/s 16 (u/s 43)</t>
    </r>
  </si>
  <si>
    <r>
      <rPr>
        <sz val="11"/>
        <rFont val="Calibri"/>
        <family val="1"/>
      </rPr>
      <t>R&amp;R Scheme Prepared by R&amp;R Administrator</t>
    </r>
  </si>
  <si>
    <r>
      <rPr>
        <sz val="11"/>
        <rFont val="Calibri"/>
        <family val="1"/>
      </rPr>
      <t>Publicity of Draft R&amp;R Scheme in affected areas</t>
    </r>
  </si>
  <si>
    <r>
      <rPr>
        <sz val="11"/>
        <rFont val="Calibri"/>
        <family val="1"/>
      </rPr>
      <t>Notice for Public Hearing for R&amp;R u/s 16(5)</t>
    </r>
  </si>
  <si>
    <r>
      <rPr>
        <sz val="11"/>
        <rFont val="Calibri"/>
        <family val="1"/>
      </rPr>
      <t>Conduct Public Hearing/ Gram Sabha in each village u/s 16(5)</t>
    </r>
  </si>
  <si>
    <r>
      <rPr>
        <sz val="11"/>
        <rFont val="Calibri"/>
        <family val="1"/>
      </rPr>
      <t>Submit Draft R&amp;R Scheme to Collector u/s 16(6)</t>
    </r>
  </si>
  <si>
    <r>
      <rPr>
        <sz val="11"/>
        <rFont val="Calibri"/>
        <family val="1"/>
      </rPr>
      <t>Review of Draft R&amp;R Scheme by collector and submission to Commissioner u/s 17(1)</t>
    </r>
  </si>
  <si>
    <r>
      <rPr>
        <sz val="11"/>
        <rFont val="Calibri"/>
        <family val="1"/>
      </rPr>
      <t>Approval of R&amp;R scheme by Commissioner u/s 17(2)</t>
    </r>
  </si>
  <si>
    <r>
      <rPr>
        <sz val="11"/>
        <rFont val="Calibri"/>
        <family val="1"/>
      </rPr>
      <t>Publish Approved R&amp;R Scheme in affected area u/s 18</t>
    </r>
  </si>
  <si>
    <r>
      <rPr>
        <sz val="11"/>
        <rFont val="Calibri"/>
        <family val="1"/>
      </rPr>
      <t>Deposit amount in full or part as prescribed</t>
    </r>
  </si>
  <si>
    <r>
      <rPr>
        <sz val="11"/>
        <rFont val="Calibri"/>
        <family val="1"/>
      </rPr>
      <t>Publication of Declaration and Summary of R&amp;R by Secretary to gov</t>
    </r>
  </si>
  <si>
    <r>
      <rPr>
        <sz val="11"/>
        <rFont val="Calibri"/>
        <family val="1"/>
      </rPr>
      <t>Land Declared u/s 19 (LA 2013)</t>
    </r>
  </si>
  <si>
    <r>
      <rPr>
        <sz val="11"/>
        <rFont val="Calibri"/>
        <family val="1"/>
      </rPr>
      <t>Mark and measure the land u/s 20</t>
    </r>
  </si>
  <si>
    <r>
      <rPr>
        <sz val="11"/>
        <rFont val="Calibri"/>
        <family val="1"/>
      </rPr>
      <t>Notice to Person interested u/s 21</t>
    </r>
  </si>
  <si>
    <r>
      <rPr>
        <sz val="11"/>
        <rFont val="Calibri"/>
        <family val="1"/>
      </rPr>
      <t>Hearing of Objections u/s 21 (2)</t>
    </r>
  </si>
  <si>
    <r>
      <rPr>
        <sz val="11"/>
        <rFont val="Calibri"/>
        <family val="1"/>
      </rPr>
      <t>Enquiry&amp; Land acquisition award by collector u/s 23</t>
    </r>
  </si>
  <si>
    <r>
      <rPr>
        <sz val="11"/>
        <rFont val="Calibri"/>
        <family val="1"/>
      </rPr>
      <t>Payment of balance amount to Govt.</t>
    </r>
  </si>
  <si>
    <r>
      <rPr>
        <sz val="11"/>
        <rFont val="Calibri"/>
        <family val="1"/>
      </rPr>
      <t>Payment Disbursement</t>
    </r>
  </si>
  <si>
    <r>
      <rPr>
        <sz val="11"/>
        <rFont val="Calibri"/>
        <family val="1"/>
      </rPr>
      <t>Possession of Land u/s 38</t>
    </r>
  </si>
  <si>
    <r>
      <rPr>
        <sz val="11"/>
        <rFont val="Calibri"/>
        <family val="1"/>
      </rPr>
      <t>R&amp;R Award by collector for PAFs u/s 31(1)</t>
    </r>
  </si>
  <si>
    <r>
      <rPr>
        <sz val="11"/>
        <rFont val="Calibri"/>
        <family val="1"/>
      </rPr>
      <t>Constitute R&amp;R committe of Project u/s 45 to monitor and review of progress of R&amp;R</t>
    </r>
  </si>
  <si>
    <r>
      <rPr>
        <sz val="11"/>
        <rFont val="Calibri"/>
        <family val="1"/>
      </rPr>
      <t>Quantify and deposit R&amp;R Amount into a account as directed by R&amp;R Administrator u/s 47</t>
    </r>
  </si>
  <si>
    <t>Other Consent and Clearances</t>
  </si>
  <si>
    <t>1Consent to Establish</t>
  </si>
  <si>
    <r>
      <rPr>
        <sz val="11"/>
        <rFont val="Calibri"/>
        <family val="1"/>
      </rPr>
      <t>Application by Project Proponent on online portal</t>
    </r>
  </si>
  <si>
    <r>
      <rPr>
        <sz val="11"/>
        <rFont val="Calibri"/>
        <family val="1"/>
      </rPr>
      <t>Submission of Hard Copy to Member Secretary, SPCB along with the online communication</t>
    </r>
  </si>
  <si>
    <r>
      <rPr>
        <sz val="11"/>
        <rFont val="Calibri"/>
        <family val="1"/>
      </rPr>
      <t>Site Inspection by RO, SPCB&amp; its recommendations</t>
    </r>
  </si>
  <si>
    <r>
      <rPr>
        <sz val="11"/>
        <rFont val="Calibri"/>
        <family val="1"/>
      </rPr>
      <t>Presentation and Appraisal by Technical Committee</t>
    </r>
  </si>
  <si>
    <r>
      <rPr>
        <sz val="11"/>
        <rFont val="Calibri"/>
        <family val="1"/>
      </rPr>
      <t>Grant of CTE</t>
    </r>
  </si>
  <si>
    <r>
      <rPr>
        <sz val="11"/>
        <rFont val="Calibri"/>
        <family val="1"/>
      </rPr>
      <t>Payment of requisite fees by Project Proponenent</t>
    </r>
  </si>
  <si>
    <t>Consent to Operate</t>
  </si>
  <si>
    <r>
      <rPr>
        <sz val="11"/>
        <rFont val="Calibri"/>
        <family val="1"/>
      </rPr>
      <t>Grant of CTO</t>
    </r>
  </si>
  <si>
    <r>
      <rPr>
        <sz val="11"/>
        <rFont val="Calibri"/>
        <family val="1"/>
      </rPr>
      <t>Application for Mine Opening to Coal Controller</t>
    </r>
  </si>
  <si>
    <r>
      <rPr>
        <sz val="11"/>
        <rFont val="Calibri"/>
        <family val="1"/>
      </rPr>
      <t>Grant of Mine Opening Permission</t>
    </r>
  </si>
  <si>
    <t>Application to DGMS for necessary permissions</t>
  </si>
  <si>
    <t>Permission for Deployment of HEMM</t>
  </si>
  <si>
    <t xml:space="preserve">Application to CLC </t>
  </si>
  <si>
    <t>Permission for deployment of contract labour</t>
  </si>
  <si>
    <t>Notice regarding industrial unit</t>
  </si>
  <si>
    <t>Opening of Escrow Account</t>
  </si>
  <si>
    <r>
      <rPr>
        <sz val="11"/>
        <rFont val="Calibri"/>
        <family val="1"/>
      </rPr>
      <t>Opening of Escrow Account</t>
    </r>
  </si>
  <si>
    <t>Mine Operation</t>
  </si>
  <si>
    <t>Notice to DGMS regarding Mine opening</t>
  </si>
  <si>
    <t>Notice to Collector and other regarding mine opening</t>
  </si>
  <si>
    <r>
      <rPr>
        <sz val="11"/>
        <rFont val="Calibri"/>
        <family val="1"/>
      </rPr>
      <t>Start of Box cut</t>
    </r>
  </si>
  <si>
    <t>Intimation of actual date of start of mine to DGMS and Collector</t>
  </si>
  <si>
    <t>FC1</t>
  </si>
  <si>
    <t>FC2</t>
  </si>
  <si>
    <t>FC3</t>
  </si>
  <si>
    <t>FC4</t>
  </si>
  <si>
    <t>FC5</t>
  </si>
  <si>
    <t>FC6</t>
  </si>
  <si>
    <t>FC7</t>
  </si>
  <si>
    <t>FC8</t>
  </si>
  <si>
    <t>FC9</t>
  </si>
  <si>
    <t>FC10</t>
  </si>
  <si>
    <t>FC11</t>
  </si>
  <si>
    <t>FC12</t>
  </si>
  <si>
    <t>FC13</t>
  </si>
  <si>
    <t>FC14</t>
  </si>
  <si>
    <t>FC15</t>
  </si>
  <si>
    <t>FC16</t>
  </si>
  <si>
    <t>FC17</t>
  </si>
  <si>
    <t>FC18</t>
  </si>
  <si>
    <t>FC19</t>
  </si>
  <si>
    <t>FC20</t>
  </si>
  <si>
    <t>FC21</t>
  </si>
  <si>
    <t>FC22</t>
  </si>
  <si>
    <t>FC23</t>
  </si>
  <si>
    <t>FC24</t>
  </si>
  <si>
    <t>FC25</t>
  </si>
  <si>
    <t>FC26</t>
  </si>
  <si>
    <t>FC27</t>
  </si>
  <si>
    <t>FC28</t>
  </si>
  <si>
    <t>FC29</t>
  </si>
  <si>
    <t>FC30</t>
  </si>
  <si>
    <t>FRA1</t>
  </si>
  <si>
    <t>FRA2</t>
  </si>
  <si>
    <t>FRA3</t>
  </si>
  <si>
    <t>FRA4</t>
  </si>
  <si>
    <t>FRA5</t>
  </si>
  <si>
    <t>FRA6</t>
  </si>
  <si>
    <t>FRA7</t>
  </si>
  <si>
    <t>FRA8</t>
  </si>
  <si>
    <t>FRA9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</si>
  <si>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</si>
  <si>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</si>
  <si>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</si>
  <si>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</si>
  <si>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</si>
  <si>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</si>
  <si>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</si>
  <si>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</si>
  <si>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</si>
  <si>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</si>
  <si>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CA11</t>
  </si>
  <si>
    <t>CA12</t>
  </si>
  <si>
    <t>CA13</t>
  </si>
  <si>
    <t>TE1</t>
  </si>
  <si>
    <t>TE2</t>
  </si>
  <si>
    <t>TE3</t>
  </si>
  <si>
    <t>TE4</t>
  </si>
  <si>
    <t>TE5</t>
  </si>
  <si>
    <t>TE6</t>
  </si>
  <si>
    <t>TE7</t>
  </si>
  <si>
    <t>TE8</t>
  </si>
  <si>
    <t>TE9</t>
  </si>
  <si>
    <t>TE10</t>
  </si>
  <si>
    <t>WLCP1</t>
  </si>
  <si>
    <t>WLCP2</t>
  </si>
  <si>
    <t>WLCP3</t>
  </si>
  <si>
    <t>WLCP4</t>
  </si>
  <si>
    <t>TFPP1</t>
  </si>
  <si>
    <t>TFPP2</t>
  </si>
  <si>
    <t>TFPP3</t>
  </si>
  <si>
    <t>TFPP4</t>
  </si>
  <si>
    <t>TFPP5</t>
  </si>
  <si>
    <t>TFPP6</t>
  </si>
  <si>
    <t>TFPP7</t>
  </si>
  <si>
    <t>TFPP8</t>
  </si>
  <si>
    <t>TFPP9</t>
  </si>
  <si>
    <t>TFPP10</t>
  </si>
  <si>
    <t>TFPP11</t>
  </si>
  <si>
    <t>TFPP12</t>
  </si>
  <si>
    <t>TFPP13</t>
  </si>
  <si>
    <t>TFPP14</t>
  </si>
  <si>
    <t>TFPP15</t>
  </si>
  <si>
    <t>TFPP16</t>
  </si>
  <si>
    <t>TFPP17</t>
  </si>
  <si>
    <t>TFPP18</t>
  </si>
  <si>
    <t>TFPP19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</si>
  <si>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</si>
  <si>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</si>
  <si>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</si>
  <si>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</si>
  <si>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</si>
  <si>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</si>
  <si>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</si>
  <si>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</si>
  <si>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</si>
  <si>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</si>
  <si>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EC11</t>
  </si>
  <si>
    <t>EC12</t>
  </si>
  <si>
    <t>EC13</t>
  </si>
  <si>
    <t>EC14</t>
  </si>
  <si>
    <t>EC15</t>
  </si>
  <si>
    <t>EC16</t>
  </si>
  <si>
    <t>ML1</t>
  </si>
  <si>
    <t>ML2</t>
  </si>
  <si>
    <t>ML3</t>
  </si>
  <si>
    <t>ML4</t>
  </si>
  <si>
    <t>ML5</t>
  </si>
  <si>
    <t>ML6</t>
  </si>
  <si>
    <t>ML7</t>
  </si>
  <si>
    <t>ML8</t>
  </si>
  <si>
    <t>ML9</t>
  </si>
  <si>
    <t>ML10</t>
  </si>
  <si>
    <t>ML11</t>
  </si>
  <si>
    <t>ML12</t>
  </si>
  <si>
    <t>LA1</t>
  </si>
  <si>
    <t>LA2</t>
  </si>
  <si>
    <t>LA3</t>
  </si>
  <si>
    <t>LA4</t>
  </si>
  <si>
    <t>LA5</t>
  </si>
  <si>
    <t>LA6</t>
  </si>
  <si>
    <t>LA7</t>
  </si>
  <si>
    <t>LA8</t>
  </si>
  <si>
    <t>LA9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</si>
  <si>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</si>
  <si>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</si>
  <si>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</si>
  <si>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</si>
  <si>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</si>
  <si>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</si>
  <si>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</si>
  <si>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</si>
  <si>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</si>
  <si>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</si>
  <si>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</si>
  <si>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</si>
  <si>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</si>
  <si>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LA23</t>
  </si>
  <si>
    <t>LA24</t>
  </si>
  <si>
    <t>LA25</t>
  </si>
  <si>
    <t>LA26</t>
  </si>
  <si>
    <t>LA27</t>
  </si>
  <si>
    <t>LA28</t>
  </si>
  <si>
    <t>LA29</t>
  </si>
  <si>
    <t>LA30</t>
  </si>
  <si>
    <t>LA31</t>
  </si>
  <si>
    <t>LA32</t>
  </si>
  <si>
    <t>LA33</t>
  </si>
  <si>
    <t>LA34</t>
  </si>
  <si>
    <t>LA35</t>
  </si>
  <si>
    <t>LA36</t>
  </si>
  <si>
    <t>LA37</t>
  </si>
  <si>
    <t>LA38</t>
  </si>
  <si>
    <t>LA39</t>
  </si>
  <si>
    <t>LA40</t>
  </si>
  <si>
    <t>LA41</t>
  </si>
  <si>
    <t>LA42</t>
  </si>
  <si>
    <t>LA43</t>
  </si>
  <si>
    <t>LA44</t>
  </si>
  <si>
    <t>LA45</t>
  </si>
  <si>
    <t>LA46</t>
  </si>
  <si>
    <t>LA47</t>
  </si>
  <si>
    <t>LA48</t>
  </si>
  <si>
    <t>LA49</t>
  </si>
  <si>
    <t>LA50</t>
  </si>
  <si>
    <t>CTE1</t>
  </si>
  <si>
    <t>CTE2</t>
  </si>
  <si>
    <t>CTE3</t>
  </si>
  <si>
    <t>CTE4</t>
  </si>
  <si>
    <t>CTE5</t>
  </si>
  <si>
    <t>CTE6</t>
  </si>
  <si>
    <t>CTO1</t>
  </si>
  <si>
    <t>CTO2</t>
  </si>
  <si>
    <t>CTO3</t>
  </si>
  <si>
    <t>CTO4</t>
  </si>
  <si>
    <t>CTO5</t>
  </si>
  <si>
    <t>Acceptance/seek amendment</t>
  </si>
  <si>
    <t>EC17</t>
  </si>
  <si>
    <t>GW Modeling  (Depends on ToR)</t>
  </si>
  <si>
    <t xml:space="preserve">Hydrogeological Investigation </t>
  </si>
  <si>
    <t xml:space="preserve">Duration - Realistic </t>
  </si>
  <si>
    <t>Duration-Aggressive</t>
  </si>
  <si>
    <t xml:space="preserve">Target Start Date-Aggressive </t>
  </si>
  <si>
    <t>Target Start Date - Realistic</t>
  </si>
  <si>
    <t>Contract formalization</t>
  </si>
  <si>
    <t>Preliminery activities</t>
  </si>
  <si>
    <t>Mining Plan &amp; Mine closure Plan</t>
  </si>
  <si>
    <t>Forest Clearance</t>
  </si>
  <si>
    <t>P1</t>
  </si>
  <si>
    <t>A1</t>
  </si>
  <si>
    <t>P2</t>
  </si>
  <si>
    <t>P3</t>
  </si>
  <si>
    <t>Collection of GR from CMPDI</t>
  </si>
  <si>
    <t>P4</t>
  </si>
  <si>
    <t xml:space="preserve">Environment Clearance </t>
  </si>
  <si>
    <t>EC18</t>
  </si>
  <si>
    <t>EC19</t>
  </si>
  <si>
    <t>Consent to Establish</t>
  </si>
  <si>
    <t>Ground breaking + Mine Operationalization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</si>
  <si>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</si>
  <si>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</si>
  <si>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</si>
  <si>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</si>
  <si>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</si>
  <si>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</si>
  <si>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</si>
  <si>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</si>
  <si>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</si>
  <si>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 xml:space="preserve">Tendor- Mining Plan  </t>
  </si>
  <si>
    <t>Uploading of NIT</t>
  </si>
  <si>
    <t>Preparation and vetting of RFP documents</t>
  </si>
  <si>
    <t>T1</t>
  </si>
  <si>
    <t xml:space="preserve">Tendor- Mining Plan </t>
  </si>
  <si>
    <t>Approval of tender documents</t>
  </si>
  <si>
    <t>T2</t>
  </si>
  <si>
    <t>T3</t>
  </si>
  <si>
    <t>Uploading of corrigendum</t>
  </si>
  <si>
    <t>Pre-bid meeting</t>
  </si>
  <si>
    <t>T4</t>
  </si>
  <si>
    <t>Preparation of responses</t>
  </si>
  <si>
    <t>T5</t>
  </si>
  <si>
    <t>Approval of responses</t>
  </si>
  <si>
    <t>T6</t>
  </si>
  <si>
    <t>T7</t>
  </si>
  <si>
    <t>Evaluation of bids</t>
  </si>
  <si>
    <t>Bid submission</t>
  </si>
  <si>
    <t>T8</t>
  </si>
  <si>
    <t>Only 1 Bid arrived</t>
  </si>
  <si>
    <t>Technical Evaluation</t>
  </si>
  <si>
    <t>T9</t>
  </si>
  <si>
    <t>Yet to be started</t>
  </si>
  <si>
    <t>Approval for opening of IPO</t>
  </si>
  <si>
    <t>T10</t>
  </si>
  <si>
    <t>Issue LoA to shirtlisted Agency</t>
  </si>
  <si>
    <t>Shortlisting preferred agencies</t>
  </si>
  <si>
    <t>T12</t>
  </si>
  <si>
    <t>Final round of negotiations</t>
  </si>
  <si>
    <t>Tendor- EC + FC</t>
  </si>
  <si>
    <t>PPD + ENV</t>
  </si>
  <si>
    <t xml:space="preserve">Tendor- DPR </t>
  </si>
  <si>
    <t>IPO opening and reverse auction</t>
  </si>
  <si>
    <t>T11</t>
  </si>
  <si>
    <t>Tendor- MDO</t>
  </si>
  <si>
    <t>Onboarding a transaction Advisory</t>
  </si>
  <si>
    <t xml:space="preserve">Float RFP to onboard a transaction advisory </t>
  </si>
  <si>
    <t>Onboard transaction advisory</t>
  </si>
  <si>
    <t>T13</t>
  </si>
  <si>
    <t>T14</t>
  </si>
  <si>
    <t>T15</t>
  </si>
  <si>
    <t>T16</t>
  </si>
  <si>
    <t>T17</t>
  </si>
  <si>
    <t>Tendor- Land Acquisition and R&amp;R</t>
  </si>
  <si>
    <t>PPD + Land Cell</t>
  </si>
  <si>
    <t>Key Milestones/Activities</t>
  </si>
  <si>
    <t>Project/Dept. Mentor</t>
  </si>
  <si>
    <t>Project Co-ordinators</t>
  </si>
  <si>
    <t>BCG Co-ordinator</t>
  </si>
  <si>
    <t>Department Owner/ POC</t>
  </si>
  <si>
    <t>Key Roles &amp; Responsibility</t>
  </si>
  <si>
    <t>MOC Deadline</t>
  </si>
  <si>
    <t>Penalty Amount  (INR Cr)</t>
  </si>
  <si>
    <t>Progress made so far…</t>
  </si>
  <si>
    <t>Key task in next 4 weeks…</t>
  </si>
  <si>
    <t>Baitarni West</t>
  </si>
  <si>
    <t>Burapahar</t>
  </si>
  <si>
    <t>Mine Plan Preparation &amp; Approval</t>
  </si>
  <si>
    <t>H K Joshi</t>
  </si>
  <si>
    <t>1.Swagat Ray</t>
  </si>
  <si>
    <t>1.Ravinder Yadav</t>
  </si>
  <si>
    <t>Piyush Shah</t>
  </si>
  <si>
    <t xml:space="preserve">1.Extension of current role &amp; responsibilty to support operationalization of coal blocks ahead of timelines. Key responsibilities involve  regularly interacting with designated agencies to get the studies/assessments done on ground , liason with internal/external stakeholders to ensure all activities are completed within set timelines
2. This is a time bound work,precise planning may be done by Owner POC to avoid any delay.There will be huge penalty for any delay beyond stipulated timeline set by MOC.
</t>
  </si>
  <si>
    <t>Already approved</t>
  </si>
  <si>
    <t xml:space="preserve">1. Roll-out of RFP to onboard agency , conducted pre-bid meeting and uploaded reply to queries online (BP)
Last date of bid submission : 6th July 2023
</t>
  </si>
  <si>
    <t xml:space="preserve">1. Secure Mine plan and mine closure plan from OMC ( BW )
2. Secure GR from CMPDIL ( BP)
3. Onboarding agencies for mining plan preparation ( BP )
4. Support in drafting RFP for preparing DPR ( BP + BW )
5. Securing login credentials for SWCS portal </t>
  </si>
  <si>
    <t>2.B K Mahato</t>
  </si>
  <si>
    <t>2. Anurag Khandelwal</t>
  </si>
  <si>
    <t>3.Devesh Srivastav</t>
  </si>
  <si>
    <t>4 D K Thakkar</t>
  </si>
  <si>
    <t>Environment &amp; Forest clearance</t>
  </si>
  <si>
    <t>1.Dr Ajay Mehrotra</t>
  </si>
  <si>
    <t xml:space="preserve">1. Roll-out of RFP to onboard agency , conducted pre-bid meeting and uploaded reply to queries online (BP)
Last date of bid submission : 20th July 2023
</t>
  </si>
  <si>
    <r>
      <t xml:space="preserve">1. Onboarding agencies for mining plan preparation ( BP + BW)
2. Initiate process to secure draft EIA report from CMPDIL ( BW ) - </t>
    </r>
    <r>
      <rPr>
        <i/>
        <sz val="11"/>
        <color theme="1"/>
        <rFont val="Calibri"/>
        <family val="2"/>
        <scheme val="minor"/>
      </rPr>
      <t>to be discussed internally</t>
    </r>
    <r>
      <rPr>
        <sz val="11"/>
        <color theme="1"/>
        <rFont val="Calibri"/>
        <family val="2"/>
        <scheme val="minor"/>
      </rPr>
      <t xml:space="preserve">
3. Initiate conversation with OMC to get access to CA land allocated to BW - </t>
    </r>
    <r>
      <rPr>
        <i/>
        <sz val="11"/>
        <color theme="1"/>
        <rFont val="Calibri"/>
        <family val="2"/>
        <scheme val="minor"/>
      </rPr>
      <t>to be discussed internally</t>
    </r>
  </si>
  <si>
    <t>A K Makadia</t>
  </si>
  <si>
    <t>2.Dr Gurdeep Singh</t>
  </si>
  <si>
    <t>Land acquisition and R &amp; R</t>
  </si>
  <si>
    <t xml:space="preserve">1. Roll-out of RFP to onboard agency , conducted pre-bid meeting and uploaded reply to queries online (BP)
Last date of bid submission : 12th July 2023
</t>
  </si>
  <si>
    <t>1. Onboarding agencies for Land Acquisition and R&amp;R ( BP + BW)
2. Source Gazette notification u/s 11(1) CBA Acr , 1957 - Land measuring 1192.2930 Ha and all rights in or over the said land vested to OMC (BW)</t>
  </si>
  <si>
    <t>Rajat Dash</t>
  </si>
  <si>
    <t>Mine opening permissions</t>
  </si>
  <si>
    <t>B K Mahato</t>
  </si>
  <si>
    <t>B K Mahato / GM-Batarni / GM-Burapahar</t>
  </si>
  <si>
    <t xml:space="preserve">Manpower - Hiring </t>
  </si>
  <si>
    <t>S D Bhandari</t>
  </si>
  <si>
    <t>Phased timelines</t>
  </si>
  <si>
    <t>Initiated hiring for :
1.Appointment order issued to  Head Project Planning &amp; Adminisratio (BW &amp; BP).
2.Interview completed for Head Project Planning &amp; Adminisration -RCO office BBSR. 
3.Shortlisted GM (Project) &amp; DGM(Coal) candidates for BW &amp; BP.</t>
  </si>
  <si>
    <t xml:space="preserve"> Initiate hiring for :
1. Interview and appointment for General Manager (Project) &amp; DGM (Coal). - BW + BP
2. Re-invite application for DGM (A/C) &amp; DGM(CC)
3. Initiate process for hiring of other position after approval of organogram from competent authority.</t>
  </si>
  <si>
    <t>Marketing, Sales &amp; Logistic</t>
  </si>
  <si>
    <t>1. Initaited customer discovery sessions for customers in Odisha + nearby states 
2. Initiated customer discovery sessions for coastal demand centers ( including Gujarat)
3. Shortlisted agencies to conduct pre-feasibility assessment of evacuation routes ( Rail / Road / Sea )</t>
  </si>
  <si>
    <t>1. Continue customer discovery sessions ( Odisha + Coastal)
2. Evaluate potential in export market as well</t>
  </si>
  <si>
    <t>Power Expansion</t>
  </si>
  <si>
    <t>Janardan Dave</t>
  </si>
  <si>
    <t>1. Completed pre-feasibility study of setting a pithead power plant at mine sites 
2. Assessed feasibility of servicing Gujarat from pithead plant</t>
  </si>
  <si>
    <t>1. Assess customers to shortlist priority customers for reach out 
2. Assess stressed assets for partner / customer discussions</t>
  </si>
  <si>
    <t>Finance</t>
  </si>
  <si>
    <t xml:space="preserve">L. Kulshrestha </t>
  </si>
  <si>
    <t>Anupama Iyer</t>
  </si>
  <si>
    <t>1. Submitted fixed payment and BG as per timelines to MOC</t>
  </si>
  <si>
    <t>1. Support with all future capital disburesements and payment to MOC</t>
  </si>
  <si>
    <t>Target Finish Date</t>
  </si>
  <si>
    <t>Guest house - BBSR</t>
  </si>
  <si>
    <t>Office Space - BBSR</t>
  </si>
  <si>
    <t>Guest house - BW</t>
  </si>
  <si>
    <t>Office Space - BW</t>
  </si>
  <si>
    <t>Guest house - BP</t>
  </si>
  <si>
    <t>Office Space - BP</t>
  </si>
  <si>
    <t xml:space="preserve">Hiring of Odisha Project Team </t>
  </si>
  <si>
    <t>Vehicle procurement</t>
  </si>
  <si>
    <t>CSR Activities - BW</t>
  </si>
  <si>
    <t>CSR Activities - BP</t>
  </si>
  <si>
    <t>IT Infra and connectivity setup</t>
  </si>
  <si>
    <t>Logistics pe-feasibility study</t>
  </si>
  <si>
    <t>P5</t>
  </si>
  <si>
    <t>Appointment of DGPS Survey agency</t>
  </si>
  <si>
    <t>Yet to start</t>
  </si>
  <si>
    <t>Piyush Shah / CPD</t>
  </si>
  <si>
    <t>P6</t>
  </si>
  <si>
    <t>Collection of GR from CMPDI- Softcopy</t>
  </si>
  <si>
    <t>Collection of GR from CMPDI-Hardcopy</t>
  </si>
  <si>
    <t>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</si>
</sst>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1"/>
      <name val="Calibri"/>
      <family val="2"/>
    </font>
    <font>
      <sz val="11"/>
      <name val="Calibri"/>
      <family val="1"/>
    </font>
    <font>
      <b/>
      <sz val="11"/>
      <name val="Calibri"/>
      <family val="2"/>
    </font>
    <font>
      <b/>
      <sz val="11"/>
      <name val="Calibri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4D4D4"/>
      </left>
      <right style="thin">
        <color rgb="FF808080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808080"/>
      </right>
      <top style="thin">
        <color rgb="FFD4D4D4"/>
      </top>
      <bottom style="thin">
        <color rgb="FF808080"/>
      </bottom>
      <diagonal/>
    </border>
    <border>
      <left style="thin">
        <color rgb="FFD4D4D4"/>
      </left>
      <right style="thin">
        <color rgb="FF808080"/>
      </right>
      <top style="thin">
        <color rgb="FF808080"/>
      </top>
      <bottom style="thin">
        <color rgb="FFD4D4D4"/>
      </bottom>
      <diagonal/>
    </border>
    <border>
      <left style="thin">
        <color rgb="FFD4D4D4"/>
      </left>
      <right style="thin">
        <color rgb="FF808080"/>
      </right>
      <top style="thin">
        <color rgb="FFD4D4D4"/>
      </top>
      <bottom style="thin">
        <color rgb="FF000000"/>
      </bottom>
      <diagonal/>
    </border>
    <border>
      <left style="thin">
        <color rgb="FFD4D4D4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2"/>
    </xf>
    <xf numFmtId="15" fontId="0" fillId="0" borderId="0" xfId="0" applyNumberFormat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left" vertical="top" wrapText="1" indent="6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5" fontId="0" fillId="0" borderId="1" xfId="0" applyNumberFormat="1" applyBorder="1" applyAlignment="1">
      <alignment horizontal="right" vertical="top"/>
    </xf>
    <xf numFmtId="15" fontId="0" fillId="0" borderId="1" xfId="0" applyNumberFormat="1" applyBorder="1"/>
    <xf numFmtId="15" fontId="0" fillId="0" borderId="1" xfId="0" applyNumberFormat="1" applyBorder="1" applyAlignment="1">
      <alignment horizontal="right"/>
    </xf>
    <xf numFmtId="0" fontId="7" fillId="0" borderId="1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0" fillId="0" borderId="1" xfId="0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 indent="2"/>
    </xf>
    <xf numFmtId="0" fontId="9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0" xfId="0" applyAlignment="1">
      <alignment wrapText="1"/>
    </xf>
    <xf numFmtId="0" fontId="7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 indent="5"/>
    </xf>
    <xf numFmtId="0" fontId="5" fillId="0" borderId="1" xfId="0" applyFont="1" applyBorder="1" applyAlignment="1">
      <alignment horizontal="left" vertical="top" wrapText="1" indent="6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15" fontId="0" fillId="6" borderId="1" xfId="0" applyNumberFormat="1" applyFill="1" applyBorder="1"/>
    <xf numFmtId="0" fontId="0" fillId="6" borderId="1" xfId="0" applyFill="1" applyBorder="1"/>
    <xf numFmtId="15" fontId="2" fillId="6" borderId="1" xfId="0" applyNumberFormat="1" applyFont="1" applyFill="1" applyBorder="1"/>
    <xf numFmtId="0" fontId="11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left" vertical="center" wrapText="1" indent="2"/>
    </xf>
    <xf numFmtId="0" fontId="0" fillId="6" borderId="0" xfId="0" applyFill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/>
    </xf>
    <xf numFmtId="0" fontId="8" fillId="5" borderId="8" xfId="0" applyFont="1" applyFill="1" applyBorder="1" applyAlignment="1">
      <alignment horizontal="left" vertical="top" wrapText="1"/>
    </xf>
    <xf numFmtId="0" fontId="8" fillId="5" borderId="9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10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38.5" bestFit="1" customWidth="1"/>
    <col min="2" max="2" width="41" bestFit="1" customWidth="1"/>
    <col min="3" max="3" width="59.6640625" customWidth="1"/>
    <col min="4" max="5" width="19.83203125" customWidth="1"/>
    <col min="6" max="7" width="19.83203125" hidden="1" customWidth="1"/>
    <col min="8" max="8" width="19.83203125" style="54" customWidth="1"/>
    <col min="9" max="11" width="19.83203125" customWidth="1"/>
    <col min="12" max="12" width="19.83203125" hidden="1" customWidth="1"/>
    <col min="13" max="13" width="24.1640625" hidden="1" customWidth="1"/>
    <col min="14" max="16" width="19.83203125" customWidth="1"/>
  </cols>
  <sheetData>
    <row r="2" spans="1:16" ht="32" x14ac:dyDescent="0.2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3" t="s">
        <v>433</v>
      </c>
      <c r="G2" s="3" t="s">
        <v>434</v>
      </c>
      <c r="H2" s="53" t="s">
        <v>432</v>
      </c>
      <c r="I2" s="3" t="s">
        <v>431</v>
      </c>
      <c r="J2" s="3" t="s">
        <v>6</v>
      </c>
      <c r="K2" s="3" t="s">
        <v>7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</row>
    <row r="3" spans="1:16" x14ac:dyDescent="0.2">
      <c r="A3" s="22" t="s">
        <v>435</v>
      </c>
      <c r="B3" s="22" t="s">
        <v>15</v>
      </c>
      <c r="C3" s="22" t="s">
        <v>16</v>
      </c>
      <c r="D3" s="22" t="s">
        <v>440</v>
      </c>
      <c r="E3" s="22">
        <v>1</v>
      </c>
      <c r="F3" s="22"/>
      <c r="G3" s="22"/>
      <c r="H3" s="50"/>
      <c r="I3" s="22"/>
      <c r="J3" s="49">
        <v>45085</v>
      </c>
      <c r="K3" s="49">
        <v>45085</v>
      </c>
      <c r="L3" s="22"/>
      <c r="M3" s="18">
        <v>45085</v>
      </c>
      <c r="N3" s="22" t="s">
        <v>18</v>
      </c>
      <c r="O3" s="22" t="s">
        <v>19</v>
      </c>
      <c r="P3" s="22"/>
    </row>
    <row r="4" spans="1:16" x14ac:dyDescent="0.2">
      <c r="A4" s="22" t="s">
        <v>436</v>
      </c>
      <c r="B4" s="22" t="s">
        <v>21</v>
      </c>
      <c r="C4" s="22" t="s">
        <v>573</v>
      </c>
      <c r="D4" s="22" t="s">
        <v>439</v>
      </c>
      <c r="E4" s="22"/>
      <c r="F4" s="22"/>
      <c r="G4" s="22"/>
      <c r="H4" s="50">
        <v>5</v>
      </c>
      <c r="I4" s="22">
        <v>10</v>
      </c>
      <c r="J4" s="49">
        <v>45132</v>
      </c>
      <c r="K4" s="49">
        <v>45139</v>
      </c>
      <c r="L4" s="22"/>
      <c r="M4" s="18"/>
      <c r="N4" s="22" t="s">
        <v>32</v>
      </c>
      <c r="O4" s="22" t="s">
        <v>520</v>
      </c>
      <c r="P4" s="22"/>
    </row>
    <row r="5" spans="1:16" x14ac:dyDescent="0.2">
      <c r="A5" s="22" t="s">
        <v>436</v>
      </c>
      <c r="B5" s="22" t="s">
        <v>21</v>
      </c>
      <c r="C5" s="22" t="s">
        <v>21</v>
      </c>
      <c r="D5" s="22" t="s">
        <v>441</v>
      </c>
      <c r="E5" s="22">
        <v>1</v>
      </c>
      <c r="F5" s="22"/>
      <c r="G5" s="22"/>
      <c r="H5" s="50">
        <v>75</v>
      </c>
      <c r="I5" s="22">
        <v>90</v>
      </c>
      <c r="J5" s="18">
        <f>J4+H5</f>
        <v>45207</v>
      </c>
      <c r="K5" s="18">
        <f>K4+I5</f>
        <v>45229</v>
      </c>
      <c r="L5" s="22"/>
      <c r="M5" s="22"/>
      <c r="N5" s="22" t="s">
        <v>574</v>
      </c>
      <c r="O5" s="22" t="s">
        <v>520</v>
      </c>
      <c r="P5" s="22"/>
    </row>
    <row r="6" spans="1:16" x14ac:dyDescent="0.2">
      <c r="A6" s="22" t="s">
        <v>436</v>
      </c>
      <c r="B6" s="22" t="s">
        <v>22</v>
      </c>
      <c r="C6" s="22" t="s">
        <v>22</v>
      </c>
      <c r="D6" s="22" t="s">
        <v>442</v>
      </c>
      <c r="E6" s="22"/>
      <c r="F6" s="22"/>
      <c r="G6" s="22"/>
      <c r="H6" s="50">
        <v>30</v>
      </c>
      <c r="I6" s="22">
        <v>45</v>
      </c>
      <c r="J6" s="18">
        <f>J4+H6</f>
        <v>45162</v>
      </c>
      <c r="K6" s="18">
        <f>K4+I6</f>
        <v>45184</v>
      </c>
      <c r="L6" s="22"/>
      <c r="M6" s="22"/>
      <c r="N6" s="22" t="s">
        <v>574</v>
      </c>
      <c r="O6" s="22" t="s">
        <v>575</v>
      </c>
      <c r="P6" s="22"/>
    </row>
    <row r="7" spans="1:16" x14ac:dyDescent="0.2">
      <c r="A7" s="22" t="s">
        <v>436</v>
      </c>
      <c r="B7" s="22" t="s">
        <v>23</v>
      </c>
      <c r="C7" s="22" t="s">
        <v>23</v>
      </c>
      <c r="D7" s="22" t="s">
        <v>444</v>
      </c>
      <c r="E7" s="22"/>
      <c r="F7" s="22"/>
      <c r="G7" s="22"/>
      <c r="H7" s="50">
        <f>H5-10</f>
        <v>65</v>
      </c>
      <c r="I7" s="22">
        <f>I5-10</f>
        <v>80</v>
      </c>
      <c r="J7" s="18">
        <f>J4+H7</f>
        <v>45197</v>
      </c>
      <c r="K7" s="18">
        <f>K4+I7</f>
        <v>45219</v>
      </c>
      <c r="L7" s="22"/>
      <c r="M7" s="22"/>
      <c r="N7" s="22" t="s">
        <v>574</v>
      </c>
      <c r="O7" s="22" t="s">
        <v>575</v>
      </c>
      <c r="P7" s="22"/>
    </row>
    <row r="8" spans="1:16" x14ac:dyDescent="0.2">
      <c r="A8" s="50" t="s">
        <v>436</v>
      </c>
      <c r="B8" s="22" t="s">
        <v>443</v>
      </c>
      <c r="C8" s="22" t="s">
        <v>577</v>
      </c>
      <c r="D8" s="22" t="s">
        <v>572</v>
      </c>
      <c r="E8" s="22"/>
      <c r="F8" s="22"/>
      <c r="G8" s="22"/>
      <c r="H8" s="50"/>
      <c r="I8" s="22"/>
      <c r="J8" s="49">
        <v>45120</v>
      </c>
      <c r="K8" s="49">
        <v>45120</v>
      </c>
      <c r="L8" s="22"/>
      <c r="M8" s="22"/>
      <c r="N8" s="22" t="s">
        <v>18</v>
      </c>
      <c r="O8" s="22" t="s">
        <v>520</v>
      </c>
      <c r="P8" s="22"/>
    </row>
    <row r="9" spans="1:16" x14ac:dyDescent="0.2">
      <c r="A9" s="50" t="s">
        <v>436</v>
      </c>
      <c r="B9" s="22" t="s">
        <v>443</v>
      </c>
      <c r="C9" s="22" t="s">
        <v>578</v>
      </c>
      <c r="D9" s="22" t="s">
        <v>576</v>
      </c>
      <c r="E9" s="22">
        <v>1</v>
      </c>
      <c r="F9" s="22"/>
      <c r="G9" s="22"/>
      <c r="H9" s="50">
        <v>14</v>
      </c>
      <c r="I9" s="22">
        <v>21</v>
      </c>
      <c r="J9" s="18">
        <f>J8+H9</f>
        <v>45134</v>
      </c>
      <c r="K9" s="18">
        <f>K8+I9</f>
        <v>45141</v>
      </c>
      <c r="L9" s="22"/>
      <c r="M9" s="22"/>
      <c r="N9" s="22" t="s">
        <v>574</v>
      </c>
      <c r="O9" s="22" t="s">
        <v>579</v>
      </c>
      <c r="P9" s="22"/>
    </row>
    <row r="10" spans="1:16" x14ac:dyDescent="0.2">
      <c r="A10" s="50" t="s">
        <v>437</v>
      </c>
      <c r="B10" s="22" t="s">
        <v>25</v>
      </c>
      <c r="C10" s="22" t="s">
        <v>26</v>
      </c>
      <c r="D10" s="22" t="s">
        <v>27</v>
      </c>
      <c r="E10" s="22"/>
      <c r="F10" s="22"/>
      <c r="G10" s="22"/>
      <c r="H10" s="50"/>
      <c r="I10" s="22"/>
      <c r="J10" s="49">
        <v>45085</v>
      </c>
      <c r="K10" s="49">
        <v>45085</v>
      </c>
      <c r="L10" s="22"/>
      <c r="M10" s="22"/>
      <c r="N10" s="22" t="s">
        <v>18</v>
      </c>
      <c r="O10" s="22" t="s">
        <v>19</v>
      </c>
      <c r="P10" s="22"/>
    </row>
    <row r="11" spans="1:16" x14ac:dyDescent="0.2">
      <c r="A11" s="50" t="s">
        <v>437</v>
      </c>
      <c r="B11" s="22" t="s">
        <v>25</v>
      </c>
      <c r="C11" s="22" t="s">
        <v>28</v>
      </c>
      <c r="D11" s="22" t="s">
        <v>29</v>
      </c>
      <c r="E11" s="22"/>
      <c r="F11" s="22"/>
      <c r="G11" s="22"/>
      <c r="H11" s="50"/>
      <c r="I11" s="22"/>
      <c r="J11" s="51">
        <v>45117</v>
      </c>
      <c r="K11" s="51">
        <v>45117</v>
      </c>
      <c r="L11" s="22"/>
      <c r="M11" s="22"/>
      <c r="N11" s="22" t="s">
        <v>18</v>
      </c>
      <c r="O11" s="22" t="s">
        <v>19</v>
      </c>
      <c r="P11" s="22"/>
    </row>
    <row r="12" spans="1:16" x14ac:dyDescent="0.2">
      <c r="A12" s="50" t="s">
        <v>437</v>
      </c>
      <c r="B12" s="22" t="s">
        <v>25</v>
      </c>
      <c r="C12" s="22" t="s">
        <v>30</v>
      </c>
      <c r="D12" s="22" t="s">
        <v>31</v>
      </c>
      <c r="E12" s="22">
        <v>1</v>
      </c>
      <c r="F12" s="22"/>
      <c r="G12" s="22"/>
      <c r="H12" s="50"/>
      <c r="I12" s="22"/>
      <c r="J12" s="49">
        <v>45124</v>
      </c>
      <c r="K12" s="49">
        <v>45124</v>
      </c>
      <c r="L12" s="22"/>
      <c r="M12" s="22"/>
      <c r="N12" s="22" t="s">
        <v>18</v>
      </c>
      <c r="O12" s="22" t="s">
        <v>19</v>
      </c>
      <c r="P12" s="22"/>
    </row>
    <row r="13" spans="1:16" x14ac:dyDescent="0.2">
      <c r="A13" s="50" t="s">
        <v>437</v>
      </c>
      <c r="B13" s="22" t="s">
        <v>33</v>
      </c>
      <c r="C13" s="22" t="s">
        <v>34</v>
      </c>
      <c r="D13" s="22" t="s">
        <v>35</v>
      </c>
      <c r="E13" s="22">
        <v>1</v>
      </c>
      <c r="F13" s="22"/>
      <c r="G13" s="22"/>
      <c r="H13" s="50">
        <v>35</v>
      </c>
      <c r="I13" s="22">
        <v>45</v>
      </c>
      <c r="J13" s="18">
        <f>'Partner Onboarding'!J15+H13</f>
        <v>45167</v>
      </c>
      <c r="K13" s="18">
        <f>'Partner Onboarding'!K15+I13</f>
        <v>45180</v>
      </c>
      <c r="L13" s="22"/>
      <c r="M13" s="22"/>
      <c r="N13" s="22" t="s">
        <v>574</v>
      </c>
      <c r="O13" s="22" t="s">
        <v>36</v>
      </c>
      <c r="P13" s="22"/>
    </row>
    <row r="14" spans="1:16" x14ac:dyDescent="0.2">
      <c r="A14" s="50" t="s">
        <v>437</v>
      </c>
      <c r="B14" s="22" t="s">
        <v>33</v>
      </c>
      <c r="C14" s="22" t="s">
        <v>37</v>
      </c>
      <c r="D14" s="22" t="s">
        <v>38</v>
      </c>
      <c r="E14" s="22"/>
      <c r="F14" s="22"/>
      <c r="G14" s="22"/>
      <c r="H14" s="50">
        <v>4</v>
      </c>
      <c r="I14" s="22">
        <v>10</v>
      </c>
      <c r="J14" s="18">
        <f t="shared" ref="J14:K16" si="0">J13+H14</f>
        <v>45171</v>
      </c>
      <c r="K14" s="18">
        <f t="shared" si="0"/>
        <v>45190</v>
      </c>
      <c r="L14" s="22"/>
      <c r="M14" s="22"/>
      <c r="N14" s="22" t="s">
        <v>574</v>
      </c>
      <c r="O14" s="22" t="s">
        <v>36</v>
      </c>
      <c r="P14" s="22"/>
    </row>
    <row r="15" spans="1:16" x14ac:dyDescent="0.2">
      <c r="A15" s="50" t="s">
        <v>437</v>
      </c>
      <c r="B15" s="22" t="s">
        <v>33</v>
      </c>
      <c r="C15" s="22" t="s">
        <v>39</v>
      </c>
      <c r="D15" s="22" t="s">
        <v>40</v>
      </c>
      <c r="E15" s="22"/>
      <c r="F15" s="22"/>
      <c r="G15" s="22"/>
      <c r="H15" s="50">
        <v>2</v>
      </c>
      <c r="I15" s="22">
        <v>5</v>
      </c>
      <c r="J15" s="18">
        <f t="shared" si="0"/>
        <v>45173</v>
      </c>
      <c r="K15" s="18">
        <f t="shared" si="0"/>
        <v>45195</v>
      </c>
      <c r="L15" s="22"/>
      <c r="M15" s="22"/>
      <c r="N15" s="22" t="s">
        <v>574</v>
      </c>
      <c r="O15" s="22" t="s">
        <v>36</v>
      </c>
      <c r="P15" s="22"/>
    </row>
    <row r="16" spans="1:16" x14ac:dyDescent="0.2">
      <c r="A16" s="50" t="s">
        <v>437</v>
      </c>
      <c r="B16" s="22" t="s">
        <v>33</v>
      </c>
      <c r="C16" s="22" t="s">
        <v>41</v>
      </c>
      <c r="D16" s="22" t="s">
        <v>42</v>
      </c>
      <c r="E16" s="22"/>
      <c r="F16" s="22"/>
      <c r="G16" s="22"/>
      <c r="H16" s="50">
        <v>2</v>
      </c>
      <c r="I16" s="22">
        <v>5</v>
      </c>
      <c r="J16" s="18">
        <f t="shared" si="0"/>
        <v>45175</v>
      </c>
      <c r="K16" s="18">
        <f t="shared" si="0"/>
        <v>45200</v>
      </c>
      <c r="L16" s="22"/>
      <c r="M16" s="22"/>
      <c r="N16" s="22" t="s">
        <v>574</v>
      </c>
      <c r="O16" s="22" t="s">
        <v>36</v>
      </c>
      <c r="P16" s="22"/>
    </row>
    <row r="17" spans="1:16" x14ac:dyDescent="0.2">
      <c r="A17" s="50" t="s">
        <v>437</v>
      </c>
      <c r="B17" s="22" t="s">
        <v>33</v>
      </c>
      <c r="C17" s="22" t="s">
        <v>43</v>
      </c>
      <c r="D17" s="22" t="s">
        <v>44</v>
      </c>
      <c r="E17" s="22"/>
      <c r="F17" s="22"/>
      <c r="G17" s="22"/>
      <c r="H17" s="50">
        <v>1</v>
      </c>
      <c r="I17" s="22">
        <v>2</v>
      </c>
      <c r="J17" s="18">
        <f t="shared" ref="J17:J23" si="1">J16+H17</f>
        <v>45176</v>
      </c>
      <c r="K17" s="18">
        <f t="shared" ref="K17:K23" si="2">K16+I17</f>
        <v>45202</v>
      </c>
      <c r="L17" s="22"/>
      <c r="M17" s="22"/>
      <c r="N17" s="22" t="s">
        <v>574</v>
      </c>
      <c r="O17" s="22" t="s">
        <v>36</v>
      </c>
      <c r="P17" s="22"/>
    </row>
    <row r="18" spans="1:16" x14ac:dyDescent="0.2">
      <c r="A18" s="50" t="s">
        <v>437</v>
      </c>
      <c r="B18" s="22" t="s">
        <v>33</v>
      </c>
      <c r="C18" s="22" t="s">
        <v>45</v>
      </c>
      <c r="D18" s="22" t="s">
        <v>46</v>
      </c>
      <c r="E18" s="22"/>
      <c r="F18" s="22"/>
      <c r="G18" s="22"/>
      <c r="H18" s="50">
        <v>1</v>
      </c>
      <c r="I18" s="22">
        <v>2</v>
      </c>
      <c r="J18" s="18">
        <f>J17+H18</f>
        <v>45177</v>
      </c>
      <c r="K18" s="18">
        <f t="shared" si="2"/>
        <v>45204</v>
      </c>
      <c r="L18" s="22"/>
      <c r="M18" s="22"/>
      <c r="N18" s="22" t="s">
        <v>574</v>
      </c>
      <c r="O18" s="22" t="s">
        <v>36</v>
      </c>
      <c r="P18" s="22"/>
    </row>
    <row r="19" spans="1:16" x14ac:dyDescent="0.2">
      <c r="A19" s="50" t="s">
        <v>437</v>
      </c>
      <c r="B19" s="22" t="s">
        <v>47</v>
      </c>
      <c r="C19" s="22" t="s">
        <v>48</v>
      </c>
      <c r="D19" s="22" t="s">
        <v>49</v>
      </c>
      <c r="E19" s="22">
        <v>1</v>
      </c>
      <c r="F19" s="22"/>
      <c r="G19" s="22"/>
      <c r="H19" s="50">
        <v>2</v>
      </c>
      <c r="I19" s="22">
        <v>4</v>
      </c>
      <c r="J19" s="18">
        <f t="shared" si="1"/>
        <v>45179</v>
      </c>
      <c r="K19" s="18">
        <f t="shared" si="2"/>
        <v>45208</v>
      </c>
      <c r="L19" s="22"/>
      <c r="M19" s="22"/>
      <c r="N19" s="22" t="s">
        <v>574</v>
      </c>
      <c r="O19" s="22" t="s">
        <v>36</v>
      </c>
      <c r="P19" s="22"/>
    </row>
    <row r="20" spans="1:16" x14ac:dyDescent="0.2">
      <c r="A20" s="50" t="s">
        <v>437</v>
      </c>
      <c r="B20" s="22" t="s">
        <v>47</v>
      </c>
      <c r="C20" s="22" t="s">
        <v>50</v>
      </c>
      <c r="D20" s="22" t="s">
        <v>51</v>
      </c>
      <c r="E20" s="22"/>
      <c r="F20" s="22"/>
      <c r="G20" s="22"/>
      <c r="H20" s="50">
        <v>15</v>
      </c>
      <c r="I20" s="22">
        <v>21</v>
      </c>
      <c r="J20" s="18">
        <f t="shared" si="1"/>
        <v>45194</v>
      </c>
      <c r="K20" s="18">
        <f t="shared" si="2"/>
        <v>45229</v>
      </c>
      <c r="L20" s="22"/>
      <c r="M20" s="22"/>
      <c r="N20" s="22" t="s">
        <v>574</v>
      </c>
      <c r="O20" s="22" t="s">
        <v>36</v>
      </c>
      <c r="P20" s="22"/>
    </row>
    <row r="21" spans="1:16" x14ac:dyDescent="0.2">
      <c r="A21" s="50" t="s">
        <v>437</v>
      </c>
      <c r="B21" s="22" t="s">
        <v>47</v>
      </c>
      <c r="C21" s="22" t="s">
        <v>52</v>
      </c>
      <c r="D21" s="22" t="s">
        <v>53</v>
      </c>
      <c r="E21" s="22"/>
      <c r="F21" s="22"/>
      <c r="G21" s="22"/>
      <c r="H21" s="50">
        <v>2</v>
      </c>
      <c r="I21" s="22">
        <v>5</v>
      </c>
      <c r="J21" s="18">
        <f t="shared" si="1"/>
        <v>45196</v>
      </c>
      <c r="K21" s="18">
        <f t="shared" si="2"/>
        <v>45234</v>
      </c>
      <c r="L21" s="22"/>
      <c r="M21" s="22"/>
      <c r="N21" s="22" t="s">
        <v>574</v>
      </c>
      <c r="O21" s="22" t="s">
        <v>36</v>
      </c>
      <c r="P21" s="22"/>
    </row>
    <row r="22" spans="1:16" x14ac:dyDescent="0.2">
      <c r="A22" s="50" t="s">
        <v>437</v>
      </c>
      <c r="B22" s="22" t="s">
        <v>47</v>
      </c>
      <c r="C22" s="22" t="s">
        <v>54</v>
      </c>
      <c r="D22" s="22" t="s">
        <v>55</v>
      </c>
      <c r="E22" s="22"/>
      <c r="F22" s="22"/>
      <c r="G22" s="22"/>
      <c r="H22" s="50">
        <v>2</v>
      </c>
      <c r="I22" s="22">
        <v>2</v>
      </c>
      <c r="J22" s="18">
        <f t="shared" si="1"/>
        <v>45198</v>
      </c>
      <c r="K22" s="18">
        <f t="shared" si="2"/>
        <v>45236</v>
      </c>
      <c r="L22" s="22"/>
      <c r="M22" s="22"/>
      <c r="N22" s="22" t="s">
        <v>574</v>
      </c>
      <c r="O22" s="22" t="s">
        <v>36</v>
      </c>
      <c r="P22" s="22"/>
    </row>
    <row r="23" spans="1:16" x14ac:dyDescent="0.2">
      <c r="A23" s="50" t="s">
        <v>437</v>
      </c>
      <c r="B23" s="22" t="s">
        <v>56</v>
      </c>
      <c r="C23" s="22" t="s">
        <v>56</v>
      </c>
      <c r="D23" s="22" t="s">
        <v>57</v>
      </c>
      <c r="E23" s="22">
        <v>1</v>
      </c>
      <c r="F23" s="22"/>
      <c r="G23" s="22"/>
      <c r="H23" s="50">
        <v>15</v>
      </c>
      <c r="I23" s="22">
        <v>15</v>
      </c>
      <c r="J23" s="18">
        <f t="shared" si="1"/>
        <v>45213</v>
      </c>
      <c r="K23" s="18">
        <f t="shared" si="2"/>
        <v>45251</v>
      </c>
      <c r="L23" s="22"/>
      <c r="M23" s="22"/>
      <c r="N23" s="22" t="s">
        <v>574</v>
      </c>
      <c r="O23" s="22" t="s">
        <v>36</v>
      </c>
      <c r="P23" s="22"/>
    </row>
    <row r="24" spans="1:16" ht="13.25" customHeight="1" x14ac:dyDescent="0.2">
      <c r="A24" s="22" t="s">
        <v>438</v>
      </c>
      <c r="B24" s="22" t="s">
        <v>59</v>
      </c>
      <c r="C24" s="43" t="s">
        <v>60</v>
      </c>
      <c r="D24" s="22" t="s">
        <v>253</v>
      </c>
      <c r="E24" s="22"/>
      <c r="F24" s="22"/>
      <c r="G24" s="22"/>
      <c r="H24" s="50"/>
      <c r="I24" s="22"/>
      <c r="J24" s="22"/>
      <c r="K24" s="22"/>
      <c r="L24" s="22"/>
      <c r="M24" s="22"/>
      <c r="N24" s="22"/>
      <c r="O24" s="22"/>
      <c r="P24" s="22"/>
    </row>
    <row r="25" spans="1:16" ht="16" x14ac:dyDescent="0.2">
      <c r="A25" s="22" t="s">
        <v>438</v>
      </c>
      <c r="B25" s="22"/>
      <c r="C25" s="43" t="s">
        <v>61</v>
      </c>
      <c r="D25" s="22" t="s">
        <v>254</v>
      </c>
      <c r="E25" s="22"/>
      <c r="F25" s="22"/>
      <c r="G25" s="22"/>
      <c r="H25" s="50"/>
      <c r="I25" s="22"/>
      <c r="J25" s="22"/>
      <c r="K25" s="22"/>
      <c r="L25" s="22"/>
      <c r="M25" s="22"/>
      <c r="N25" s="22"/>
      <c r="O25" s="22"/>
      <c r="P25" s="22"/>
    </row>
    <row r="26" spans="1:16" ht="16" x14ac:dyDescent="0.2">
      <c r="A26" s="22" t="s">
        <v>438</v>
      </c>
      <c r="B26" s="22"/>
      <c r="C26" s="43" t="s">
        <v>62</v>
      </c>
      <c r="D26" s="22" t="s">
        <v>255</v>
      </c>
      <c r="E26" s="22"/>
      <c r="F26" s="22"/>
      <c r="G26" s="22"/>
      <c r="H26" s="50"/>
      <c r="I26" s="22"/>
      <c r="J26" s="22"/>
      <c r="K26" s="22"/>
      <c r="L26" s="22"/>
      <c r="M26" s="22"/>
      <c r="N26" s="22"/>
      <c r="O26" s="22"/>
      <c r="P26" s="22"/>
    </row>
    <row r="27" spans="1:16" ht="16" x14ac:dyDescent="0.2">
      <c r="A27" s="22" t="s">
        <v>438</v>
      </c>
      <c r="B27" s="22"/>
      <c r="C27" s="43" t="s">
        <v>63</v>
      </c>
      <c r="D27" s="22" t="s">
        <v>256</v>
      </c>
      <c r="E27" s="22"/>
      <c r="F27" s="22"/>
      <c r="G27" s="22"/>
      <c r="H27" s="50"/>
      <c r="I27" s="22"/>
      <c r="J27" s="22"/>
      <c r="K27" s="22"/>
      <c r="L27" s="22"/>
      <c r="M27" s="22"/>
      <c r="N27" s="22"/>
      <c r="O27" s="22"/>
      <c r="P27" s="22"/>
    </row>
    <row r="28" spans="1:16" ht="16" x14ac:dyDescent="0.2">
      <c r="A28" s="22" t="s">
        <v>438</v>
      </c>
      <c r="B28" s="22"/>
      <c r="C28" s="43" t="s">
        <v>64</v>
      </c>
      <c r="D28" s="22" t="s">
        <v>257</v>
      </c>
      <c r="E28" s="22"/>
      <c r="F28" s="22"/>
      <c r="G28" s="22"/>
      <c r="H28" s="50"/>
      <c r="I28" s="22"/>
      <c r="J28" s="22"/>
      <c r="K28" s="22"/>
      <c r="L28" s="22"/>
      <c r="M28" s="22"/>
      <c r="N28" s="22"/>
      <c r="O28" s="22"/>
      <c r="P28" s="22"/>
    </row>
    <row r="29" spans="1:16" ht="16" x14ac:dyDescent="0.2">
      <c r="A29" s="22" t="s">
        <v>438</v>
      </c>
      <c r="B29" s="22"/>
      <c r="C29" s="43" t="s">
        <v>65</v>
      </c>
      <c r="D29" s="22" t="s">
        <v>258</v>
      </c>
      <c r="E29" s="22"/>
      <c r="F29" s="22"/>
      <c r="G29" s="22"/>
      <c r="H29" s="50"/>
      <c r="I29" s="22"/>
      <c r="J29" s="22"/>
      <c r="K29" s="22"/>
      <c r="L29" s="22"/>
      <c r="M29" s="22"/>
      <c r="N29" s="22"/>
      <c r="O29" s="22"/>
      <c r="P29" s="22"/>
    </row>
    <row r="30" spans="1:16" ht="16" x14ac:dyDescent="0.2">
      <c r="A30" s="22" t="s">
        <v>438</v>
      </c>
      <c r="B30" s="22"/>
      <c r="C30" s="43" t="s">
        <v>66</v>
      </c>
      <c r="D30" s="22" t="s">
        <v>259</v>
      </c>
      <c r="E30" s="22"/>
      <c r="F30" s="22"/>
      <c r="G30" s="22"/>
      <c r="H30" s="50"/>
      <c r="I30" s="22"/>
      <c r="J30" s="22"/>
      <c r="K30" s="22"/>
      <c r="L30" s="22"/>
      <c r="M30" s="22"/>
      <c r="N30" s="22"/>
      <c r="O30" s="22"/>
      <c r="P30" s="22"/>
    </row>
    <row r="31" spans="1:16" ht="16" x14ac:dyDescent="0.2">
      <c r="A31" s="22" t="s">
        <v>438</v>
      </c>
      <c r="B31" s="22"/>
      <c r="C31" s="43" t="s">
        <v>67</v>
      </c>
      <c r="D31" s="22" t="s">
        <v>260</v>
      </c>
      <c r="E31" s="22"/>
      <c r="F31" s="22"/>
      <c r="G31" s="22"/>
      <c r="H31" s="50"/>
      <c r="I31" s="22"/>
      <c r="J31" s="22"/>
      <c r="K31" s="22"/>
      <c r="L31" s="22"/>
      <c r="M31" s="22"/>
      <c r="N31" s="22"/>
      <c r="O31" s="22"/>
      <c r="P31" s="22"/>
    </row>
    <row r="32" spans="1:16" ht="16" x14ac:dyDescent="0.2">
      <c r="A32" s="22" t="s">
        <v>438</v>
      </c>
      <c r="B32" s="22"/>
      <c r="C32" s="43" t="s">
        <v>68</v>
      </c>
      <c r="D32" s="22" t="s">
        <v>261</v>
      </c>
      <c r="E32" s="22"/>
      <c r="F32" s="22"/>
      <c r="G32" s="22"/>
      <c r="H32" s="50"/>
      <c r="I32" s="22"/>
      <c r="J32" s="22"/>
      <c r="K32" s="22"/>
      <c r="L32" s="22"/>
      <c r="M32" s="22"/>
      <c r="N32" s="22"/>
      <c r="O32" s="22"/>
      <c r="P32" s="22"/>
    </row>
    <row r="33" spans="1:16" ht="16" x14ac:dyDescent="0.2">
      <c r="A33" s="22" t="s">
        <v>438</v>
      </c>
      <c r="B33" s="22"/>
      <c r="C33" s="43" t="s">
        <v>69</v>
      </c>
      <c r="D33" s="22" t="s">
        <v>262</v>
      </c>
      <c r="E33" s="22"/>
      <c r="F33" s="22"/>
      <c r="G33" s="22"/>
      <c r="H33" s="50"/>
      <c r="I33" s="22"/>
      <c r="J33" s="22"/>
      <c r="K33" s="22"/>
      <c r="L33" s="22"/>
      <c r="M33" s="22"/>
      <c r="N33" s="22"/>
      <c r="O33" s="22"/>
      <c r="P33" s="22"/>
    </row>
    <row r="34" spans="1:16" ht="16" x14ac:dyDescent="0.2">
      <c r="A34" s="22" t="s">
        <v>438</v>
      </c>
      <c r="B34" s="22"/>
      <c r="C34" s="43" t="s">
        <v>70</v>
      </c>
      <c r="D34" s="22" t="s">
        <v>263</v>
      </c>
      <c r="E34" s="22"/>
      <c r="F34" s="22"/>
      <c r="G34" s="22"/>
      <c r="H34" s="50"/>
      <c r="I34" s="22"/>
      <c r="J34" s="22"/>
      <c r="K34" s="22"/>
      <c r="L34" s="22"/>
      <c r="M34" s="22"/>
      <c r="N34" s="22"/>
      <c r="O34" s="22"/>
      <c r="P34" s="22"/>
    </row>
    <row r="35" spans="1:16" ht="16" x14ac:dyDescent="0.2">
      <c r="A35" s="22" t="s">
        <v>438</v>
      </c>
      <c r="B35" s="22"/>
      <c r="C35" s="43" t="s">
        <v>71</v>
      </c>
      <c r="D35" s="22" t="s">
        <v>264</v>
      </c>
      <c r="E35" s="22"/>
      <c r="F35" s="22"/>
      <c r="G35" s="22"/>
      <c r="H35" s="50"/>
      <c r="I35" s="22"/>
      <c r="J35" s="22"/>
      <c r="K35" s="22"/>
      <c r="L35" s="22"/>
      <c r="M35" s="22"/>
      <c r="N35" s="22"/>
      <c r="O35" s="22"/>
      <c r="P35" s="22"/>
    </row>
    <row r="36" spans="1:16" ht="16" x14ac:dyDescent="0.2">
      <c r="A36" s="22" t="s">
        <v>438</v>
      </c>
      <c r="B36" s="22"/>
      <c r="C36" s="43" t="s">
        <v>72</v>
      </c>
      <c r="D36" s="22" t="s">
        <v>265</v>
      </c>
      <c r="E36" s="22"/>
      <c r="F36" s="22"/>
      <c r="G36" s="22"/>
      <c r="H36" s="50"/>
      <c r="I36" s="22"/>
      <c r="J36" s="22"/>
      <c r="K36" s="22"/>
      <c r="L36" s="22"/>
      <c r="M36" s="22"/>
      <c r="N36" s="22"/>
      <c r="O36" s="22"/>
      <c r="P36" s="22"/>
    </row>
    <row r="37" spans="1:16" ht="16" x14ac:dyDescent="0.2">
      <c r="A37" s="22" t="s">
        <v>438</v>
      </c>
      <c r="B37" s="22"/>
      <c r="C37" s="43" t="s">
        <v>73</v>
      </c>
      <c r="D37" s="22" t="s">
        <v>266</v>
      </c>
      <c r="E37" s="22"/>
      <c r="F37" s="22"/>
      <c r="G37" s="22"/>
      <c r="H37" s="50"/>
      <c r="I37" s="22"/>
      <c r="J37" s="22"/>
      <c r="K37" s="22"/>
      <c r="L37" s="22"/>
      <c r="M37" s="22"/>
      <c r="N37" s="22"/>
      <c r="O37" s="22"/>
      <c r="P37" s="22"/>
    </row>
    <row r="38" spans="1:16" ht="16" x14ac:dyDescent="0.2">
      <c r="A38" s="22" t="s">
        <v>438</v>
      </c>
      <c r="B38" s="22"/>
      <c r="C38" s="43" t="s">
        <v>74</v>
      </c>
      <c r="D38" s="22" t="s">
        <v>267</v>
      </c>
      <c r="E38" s="22"/>
      <c r="F38" s="22"/>
      <c r="G38" s="22"/>
      <c r="H38" s="50"/>
      <c r="I38" s="22"/>
      <c r="J38" s="22"/>
      <c r="K38" s="22"/>
      <c r="L38" s="22"/>
      <c r="M38" s="22"/>
      <c r="N38" s="22"/>
      <c r="O38" s="22"/>
      <c r="P38" s="22"/>
    </row>
    <row r="39" spans="1:16" ht="16" x14ac:dyDescent="0.2">
      <c r="A39" s="22" t="s">
        <v>438</v>
      </c>
      <c r="B39" s="22"/>
      <c r="C39" s="43" t="s">
        <v>75</v>
      </c>
      <c r="D39" s="22" t="s">
        <v>268</v>
      </c>
      <c r="E39" s="22"/>
      <c r="F39" s="22"/>
      <c r="G39" s="22"/>
      <c r="H39" s="50"/>
      <c r="I39" s="22"/>
      <c r="J39" s="22"/>
      <c r="K39" s="22"/>
      <c r="L39" s="22"/>
      <c r="M39" s="22"/>
      <c r="N39" s="22"/>
      <c r="O39" s="22"/>
      <c r="P39" s="22"/>
    </row>
    <row r="40" spans="1:16" ht="16" x14ac:dyDescent="0.2">
      <c r="A40" s="22" t="s">
        <v>438</v>
      </c>
      <c r="B40" s="22"/>
      <c r="C40" s="43" t="s">
        <v>76</v>
      </c>
      <c r="D40" s="22" t="s">
        <v>269</v>
      </c>
      <c r="E40" s="22"/>
      <c r="F40" s="22"/>
      <c r="G40" s="22"/>
      <c r="H40" s="50"/>
      <c r="I40" s="22"/>
      <c r="J40" s="22"/>
      <c r="K40" s="22"/>
      <c r="L40" s="22"/>
      <c r="M40" s="22"/>
      <c r="N40" s="22"/>
      <c r="O40" s="22"/>
      <c r="P40" s="22"/>
    </row>
    <row r="41" spans="1:16" ht="16" x14ac:dyDescent="0.2">
      <c r="A41" s="22" t="s">
        <v>438</v>
      </c>
      <c r="B41" s="22"/>
      <c r="C41" s="43" t="s">
        <v>77</v>
      </c>
      <c r="D41" s="22" t="s">
        <v>270</v>
      </c>
      <c r="E41" s="22"/>
      <c r="F41" s="22"/>
      <c r="G41" s="22"/>
      <c r="H41" s="50"/>
      <c r="I41" s="22"/>
      <c r="J41" s="22"/>
      <c r="K41" s="22"/>
      <c r="L41" s="22"/>
      <c r="M41" s="22"/>
      <c r="N41" s="22"/>
      <c r="O41" s="22"/>
      <c r="P41" s="22"/>
    </row>
    <row r="42" spans="1:16" ht="16" x14ac:dyDescent="0.2">
      <c r="A42" s="22" t="s">
        <v>438</v>
      </c>
      <c r="B42" s="22"/>
      <c r="C42" s="43" t="s">
        <v>78</v>
      </c>
      <c r="D42" s="22" t="s">
        <v>271</v>
      </c>
      <c r="E42" s="22"/>
      <c r="F42" s="22"/>
      <c r="G42" s="22"/>
      <c r="H42" s="50"/>
      <c r="I42" s="22"/>
      <c r="J42" s="22"/>
      <c r="K42" s="22"/>
      <c r="L42" s="22"/>
      <c r="M42" s="22"/>
      <c r="N42" s="22"/>
      <c r="O42" s="22"/>
      <c r="P42" s="22"/>
    </row>
    <row r="43" spans="1:16" ht="16" x14ac:dyDescent="0.2">
      <c r="A43" s="22" t="s">
        <v>438</v>
      </c>
      <c r="B43" s="22"/>
      <c r="C43" s="43" t="s">
        <v>79</v>
      </c>
      <c r="D43" s="22" t="s">
        <v>272</v>
      </c>
      <c r="E43" s="22"/>
      <c r="F43" s="22"/>
      <c r="G43" s="22"/>
      <c r="H43" s="50"/>
      <c r="I43" s="22"/>
      <c r="J43" s="22"/>
      <c r="K43" s="22"/>
      <c r="L43" s="22"/>
      <c r="M43" s="22"/>
      <c r="N43" s="22"/>
      <c r="O43" s="22"/>
      <c r="P43" s="22"/>
    </row>
    <row r="44" spans="1:16" ht="16" x14ac:dyDescent="0.2">
      <c r="A44" s="22" t="s">
        <v>438</v>
      </c>
      <c r="B44" s="22"/>
      <c r="C44" s="43" t="s">
        <v>80</v>
      </c>
      <c r="D44" s="22" t="s">
        <v>273</v>
      </c>
      <c r="E44" s="22"/>
      <c r="F44" s="22"/>
      <c r="G44" s="22"/>
      <c r="H44" s="50"/>
      <c r="I44" s="22"/>
      <c r="J44" s="22"/>
      <c r="K44" s="22"/>
      <c r="L44" s="22"/>
      <c r="M44" s="22"/>
      <c r="N44" s="22"/>
      <c r="O44" s="22"/>
      <c r="P44" s="22"/>
    </row>
    <row r="45" spans="1:16" ht="16" x14ac:dyDescent="0.2">
      <c r="A45" s="22" t="s">
        <v>438</v>
      </c>
      <c r="B45" s="22"/>
      <c r="C45" s="43" t="s">
        <v>81</v>
      </c>
      <c r="D45" s="22" t="s">
        <v>274</v>
      </c>
      <c r="E45" s="22"/>
      <c r="F45" s="22"/>
      <c r="G45" s="22"/>
      <c r="H45" s="50"/>
      <c r="I45" s="22"/>
      <c r="J45" s="22"/>
      <c r="K45" s="22"/>
      <c r="L45" s="22"/>
      <c r="M45" s="22"/>
      <c r="N45" s="22"/>
      <c r="O45" s="22"/>
      <c r="P45" s="22"/>
    </row>
    <row r="46" spans="1:16" ht="16" x14ac:dyDescent="0.2">
      <c r="A46" s="22" t="s">
        <v>438</v>
      </c>
      <c r="B46" s="22"/>
      <c r="C46" s="43" t="s">
        <v>82</v>
      </c>
      <c r="D46" s="22" t="s">
        <v>275</v>
      </c>
      <c r="E46" s="22"/>
      <c r="F46" s="22"/>
      <c r="G46" s="22"/>
      <c r="H46" s="50"/>
      <c r="I46" s="22"/>
      <c r="J46" s="22"/>
      <c r="K46" s="22"/>
      <c r="L46" s="22"/>
      <c r="M46" s="22"/>
      <c r="N46" s="22"/>
      <c r="O46" s="22"/>
      <c r="P46" s="22"/>
    </row>
    <row r="47" spans="1:16" ht="16" x14ac:dyDescent="0.2">
      <c r="A47" s="22" t="s">
        <v>438</v>
      </c>
      <c r="B47" s="22"/>
      <c r="C47" s="43" t="s">
        <v>83</v>
      </c>
      <c r="D47" s="22" t="s">
        <v>276</v>
      </c>
      <c r="E47" s="22"/>
      <c r="F47" s="22"/>
      <c r="G47" s="22"/>
      <c r="H47" s="50"/>
      <c r="I47" s="22"/>
      <c r="J47" s="22"/>
      <c r="K47" s="22"/>
      <c r="L47" s="22"/>
      <c r="M47" s="22"/>
      <c r="N47" s="22"/>
      <c r="O47" s="22"/>
      <c r="P47" s="22"/>
    </row>
    <row r="48" spans="1:16" ht="16" x14ac:dyDescent="0.2">
      <c r="A48" s="22" t="s">
        <v>438</v>
      </c>
      <c r="B48" s="22"/>
      <c r="C48" s="43" t="s">
        <v>84</v>
      </c>
      <c r="D48" s="22" t="s">
        <v>277</v>
      </c>
      <c r="E48" s="22"/>
      <c r="F48" s="22"/>
      <c r="G48" s="22"/>
      <c r="H48" s="50"/>
      <c r="I48" s="22"/>
      <c r="J48" s="22"/>
      <c r="K48" s="22"/>
      <c r="L48" s="22"/>
      <c r="M48" s="22"/>
      <c r="N48" s="22"/>
      <c r="O48" s="22"/>
      <c r="P48" s="22"/>
    </row>
    <row r="49" spans="1:16" ht="16" x14ac:dyDescent="0.2">
      <c r="A49" s="22" t="s">
        <v>438</v>
      </c>
      <c r="B49" s="22"/>
      <c r="C49" s="43" t="s">
        <v>85</v>
      </c>
      <c r="D49" s="22" t="s">
        <v>278</v>
      </c>
      <c r="E49" s="22"/>
      <c r="F49" s="22"/>
      <c r="G49" s="22"/>
      <c r="H49" s="50"/>
      <c r="I49" s="22"/>
      <c r="J49" s="22"/>
      <c r="K49" s="22"/>
      <c r="L49" s="22"/>
      <c r="M49" s="22"/>
      <c r="N49" s="22"/>
      <c r="O49" s="22"/>
      <c r="P49" s="22"/>
    </row>
    <row r="50" spans="1:16" ht="16" x14ac:dyDescent="0.2">
      <c r="A50" s="22" t="s">
        <v>438</v>
      </c>
      <c r="B50" s="22"/>
      <c r="C50" s="43" t="s">
        <v>86</v>
      </c>
      <c r="D50" s="22" t="s">
        <v>279</v>
      </c>
      <c r="E50" s="22"/>
      <c r="F50" s="22"/>
      <c r="G50" s="22"/>
      <c r="H50" s="50"/>
      <c r="I50" s="22"/>
      <c r="J50" s="22"/>
      <c r="K50" s="22"/>
      <c r="L50" s="22"/>
      <c r="M50" s="22"/>
      <c r="N50" s="22"/>
      <c r="O50" s="22"/>
      <c r="P50" s="22"/>
    </row>
    <row r="51" spans="1:16" ht="16" x14ac:dyDescent="0.2">
      <c r="A51" s="22" t="s">
        <v>438</v>
      </c>
      <c r="B51" s="22"/>
      <c r="C51" s="43" t="s">
        <v>87</v>
      </c>
      <c r="D51" s="22" t="s">
        <v>280</v>
      </c>
      <c r="E51" s="22"/>
      <c r="F51" s="22"/>
      <c r="G51" s="22"/>
      <c r="H51" s="50"/>
      <c r="I51" s="22"/>
      <c r="J51" s="22"/>
      <c r="K51" s="22"/>
      <c r="L51" s="22"/>
      <c r="M51" s="22"/>
      <c r="N51" s="22"/>
      <c r="O51" s="22"/>
      <c r="P51" s="22"/>
    </row>
    <row r="52" spans="1:16" ht="16" x14ac:dyDescent="0.2">
      <c r="A52" s="22" t="s">
        <v>438</v>
      </c>
      <c r="B52" s="22"/>
      <c r="C52" s="43" t="s">
        <v>88</v>
      </c>
      <c r="D52" s="22" t="s">
        <v>281</v>
      </c>
      <c r="E52" s="22"/>
      <c r="F52" s="22"/>
      <c r="G52" s="22"/>
      <c r="H52" s="50"/>
      <c r="I52" s="22"/>
      <c r="J52" s="22"/>
      <c r="K52" s="22"/>
      <c r="L52" s="22"/>
      <c r="M52" s="22"/>
      <c r="N52" s="22"/>
      <c r="O52" s="22"/>
      <c r="P52" s="22"/>
    </row>
    <row r="53" spans="1:16" ht="16" x14ac:dyDescent="0.2">
      <c r="A53" s="22" t="s">
        <v>438</v>
      </c>
      <c r="B53" s="22"/>
      <c r="C53" s="44" t="s">
        <v>89</v>
      </c>
      <c r="D53" s="22" t="s">
        <v>282</v>
      </c>
      <c r="E53" s="22"/>
      <c r="F53" s="22"/>
      <c r="G53" s="22"/>
      <c r="H53" s="50"/>
      <c r="I53" s="22"/>
      <c r="J53" s="22"/>
      <c r="K53" s="22"/>
      <c r="L53" s="22"/>
      <c r="M53" s="22"/>
      <c r="N53" s="22"/>
      <c r="O53" s="22"/>
      <c r="P53" s="22"/>
    </row>
    <row r="54" spans="1:16" ht="16" x14ac:dyDescent="0.2">
      <c r="A54" s="22" t="s">
        <v>438</v>
      </c>
      <c r="B54" s="45" t="s">
        <v>90</v>
      </c>
      <c r="C54" s="43" t="s">
        <v>91</v>
      </c>
      <c r="D54" s="22" t="s">
        <v>283</v>
      </c>
      <c r="E54" s="22"/>
      <c r="F54" s="22"/>
      <c r="G54" s="22"/>
      <c r="H54" s="50"/>
      <c r="I54" s="22"/>
      <c r="J54" s="22"/>
      <c r="K54" s="22"/>
      <c r="L54" s="22"/>
      <c r="M54" s="22"/>
      <c r="N54" s="22"/>
      <c r="O54" s="22"/>
      <c r="P54" s="22"/>
    </row>
    <row r="55" spans="1:16" ht="16" x14ac:dyDescent="0.2">
      <c r="A55" s="22" t="s">
        <v>438</v>
      </c>
      <c r="B55" s="22"/>
      <c r="C55" s="43" t="s">
        <v>92</v>
      </c>
      <c r="D55" s="22" t="s">
        <v>284</v>
      </c>
      <c r="E55" s="22"/>
      <c r="F55" s="22"/>
      <c r="G55" s="22"/>
      <c r="H55" s="50"/>
      <c r="I55" s="22"/>
      <c r="J55" s="22"/>
      <c r="K55" s="22"/>
      <c r="L55" s="22"/>
      <c r="M55" s="22"/>
      <c r="N55" s="22"/>
      <c r="O55" s="22"/>
      <c r="P55" s="22"/>
    </row>
    <row r="56" spans="1:16" ht="32" x14ac:dyDescent="0.2">
      <c r="A56" s="22" t="s">
        <v>438</v>
      </c>
      <c r="B56" s="22"/>
      <c r="C56" s="43" t="s">
        <v>93</v>
      </c>
      <c r="D56" s="22" t="s">
        <v>285</v>
      </c>
      <c r="E56" s="22"/>
      <c r="F56" s="22"/>
      <c r="G56" s="22"/>
      <c r="H56" s="50"/>
      <c r="I56" s="22"/>
      <c r="J56" s="22"/>
      <c r="K56" s="22"/>
      <c r="L56" s="22"/>
      <c r="M56" s="22"/>
      <c r="N56" s="22"/>
      <c r="O56" s="22"/>
      <c r="P56" s="22"/>
    </row>
    <row r="57" spans="1:16" ht="32" x14ac:dyDescent="0.2">
      <c r="A57" s="22" t="s">
        <v>438</v>
      </c>
      <c r="B57" s="22"/>
      <c r="C57" s="43" t="s">
        <v>94</v>
      </c>
      <c r="D57" s="22" t="s">
        <v>286</v>
      </c>
      <c r="E57" s="22"/>
      <c r="F57" s="22"/>
      <c r="G57" s="22"/>
      <c r="H57" s="50"/>
      <c r="I57" s="22"/>
      <c r="J57" s="22"/>
      <c r="K57" s="22"/>
      <c r="L57" s="22"/>
      <c r="M57" s="22"/>
      <c r="N57" s="22"/>
      <c r="O57" s="22"/>
      <c r="P57" s="22"/>
    </row>
    <row r="58" spans="1:16" ht="32" x14ac:dyDescent="0.2">
      <c r="A58" s="22" t="s">
        <v>438</v>
      </c>
      <c r="B58" s="22"/>
      <c r="C58" s="43" t="s">
        <v>95</v>
      </c>
      <c r="D58" s="22" t="s">
        <v>287</v>
      </c>
      <c r="E58" s="22"/>
      <c r="F58" s="22"/>
      <c r="G58" s="22"/>
      <c r="H58" s="50"/>
      <c r="I58" s="22"/>
      <c r="J58" s="22"/>
      <c r="K58" s="22"/>
      <c r="L58" s="22"/>
      <c r="M58" s="22"/>
      <c r="N58" s="22"/>
      <c r="O58" s="22"/>
      <c r="P58" s="22"/>
    </row>
    <row r="59" spans="1:16" ht="16" x14ac:dyDescent="0.2">
      <c r="A59" s="22" t="s">
        <v>438</v>
      </c>
      <c r="B59" s="22"/>
      <c r="C59" s="43" t="s">
        <v>96</v>
      </c>
      <c r="D59" s="22" t="s">
        <v>288</v>
      </c>
      <c r="E59" s="22"/>
      <c r="F59" s="22"/>
      <c r="G59" s="22"/>
      <c r="H59" s="50"/>
      <c r="I59" s="22"/>
      <c r="J59" s="22"/>
      <c r="K59" s="22"/>
      <c r="L59" s="22"/>
      <c r="M59" s="22"/>
      <c r="N59" s="22"/>
      <c r="O59" s="22"/>
      <c r="P59" s="22"/>
    </row>
    <row r="60" spans="1:16" ht="32" x14ac:dyDescent="0.2">
      <c r="A60" s="22" t="s">
        <v>438</v>
      </c>
      <c r="B60" s="22"/>
      <c r="C60" s="43" t="s">
        <v>97</v>
      </c>
      <c r="D60" s="22" t="s">
        <v>289</v>
      </c>
      <c r="E60" s="22"/>
      <c r="F60" s="22"/>
      <c r="G60" s="22"/>
      <c r="H60" s="50"/>
      <c r="I60" s="22"/>
      <c r="J60" s="22"/>
      <c r="K60" s="22"/>
      <c r="L60" s="22"/>
      <c r="M60" s="22"/>
      <c r="N60" s="22"/>
      <c r="O60" s="22"/>
      <c r="P60" s="22"/>
    </row>
    <row r="61" spans="1:16" ht="16" x14ac:dyDescent="0.2">
      <c r="A61" s="22" t="s">
        <v>438</v>
      </c>
      <c r="B61" s="22"/>
      <c r="C61" s="43" t="s">
        <v>98</v>
      </c>
      <c r="D61" s="22" t="s">
        <v>290</v>
      </c>
      <c r="E61" s="22"/>
      <c r="F61" s="22"/>
      <c r="G61" s="22"/>
      <c r="H61" s="50"/>
      <c r="I61" s="22"/>
      <c r="J61" s="22"/>
      <c r="K61" s="22"/>
      <c r="L61" s="22"/>
      <c r="M61" s="22"/>
      <c r="N61" s="22"/>
      <c r="O61" s="22"/>
      <c r="P61" s="22"/>
    </row>
    <row r="62" spans="1:16" ht="16" x14ac:dyDescent="0.2">
      <c r="A62" s="22" t="s">
        <v>438</v>
      </c>
      <c r="B62" s="22"/>
      <c r="C62" s="43" t="s">
        <v>99</v>
      </c>
      <c r="D62" s="22" t="s">
        <v>291</v>
      </c>
      <c r="E62" s="22"/>
      <c r="F62" s="22"/>
      <c r="G62" s="22"/>
      <c r="H62" s="50"/>
      <c r="I62" s="22"/>
      <c r="J62" s="22"/>
      <c r="K62" s="22"/>
      <c r="L62" s="22"/>
      <c r="M62" s="22"/>
      <c r="N62" s="22"/>
      <c r="O62" s="22"/>
      <c r="P62" s="22"/>
    </row>
    <row r="63" spans="1:16" ht="16" x14ac:dyDescent="0.2">
      <c r="A63" s="22" t="s">
        <v>438</v>
      </c>
      <c r="B63" s="46" t="s">
        <v>100</v>
      </c>
      <c r="C63" s="43" t="s">
        <v>101</v>
      </c>
      <c r="D63" s="22" t="s">
        <v>292</v>
      </c>
      <c r="E63" s="22"/>
      <c r="F63" s="22"/>
      <c r="G63" s="22"/>
      <c r="H63" s="50"/>
      <c r="I63" s="22"/>
      <c r="J63" s="22"/>
      <c r="K63" s="22"/>
      <c r="L63" s="22"/>
      <c r="M63" s="22"/>
      <c r="N63" s="22"/>
      <c r="O63" s="22"/>
      <c r="P63" s="22"/>
    </row>
    <row r="64" spans="1:16" ht="16" x14ac:dyDescent="0.2">
      <c r="A64" s="22" t="s">
        <v>438</v>
      </c>
      <c r="B64" s="22"/>
      <c r="C64" s="43" t="s">
        <v>102</v>
      </c>
      <c r="D64" s="22" t="s">
        <v>293</v>
      </c>
      <c r="E64" s="22"/>
      <c r="F64" s="22"/>
      <c r="G64" s="22"/>
      <c r="H64" s="50"/>
      <c r="I64" s="22"/>
      <c r="J64" s="22"/>
      <c r="K64" s="22"/>
      <c r="L64" s="22"/>
      <c r="M64" s="22"/>
      <c r="N64" s="22"/>
      <c r="O64" s="22"/>
      <c r="P64" s="22"/>
    </row>
    <row r="65" spans="1:16" ht="16" x14ac:dyDescent="0.2">
      <c r="A65" s="22" t="s">
        <v>438</v>
      </c>
      <c r="B65" s="22"/>
      <c r="C65" s="43" t="s">
        <v>103</v>
      </c>
      <c r="D65" s="22" t="s">
        <v>294</v>
      </c>
      <c r="E65" s="22"/>
      <c r="F65" s="22"/>
      <c r="G65" s="22"/>
      <c r="H65" s="50"/>
      <c r="I65" s="22"/>
      <c r="J65" s="22"/>
      <c r="K65" s="22"/>
      <c r="L65" s="22"/>
      <c r="M65" s="22"/>
      <c r="N65" s="22"/>
      <c r="O65" s="22"/>
      <c r="P65" s="22"/>
    </row>
    <row r="66" spans="1:16" ht="16" x14ac:dyDescent="0.2">
      <c r="A66" s="22" t="s">
        <v>438</v>
      </c>
      <c r="B66" s="22"/>
      <c r="C66" s="43" t="s">
        <v>104</v>
      </c>
      <c r="D66" s="22" t="s">
        <v>295</v>
      </c>
      <c r="E66" s="22"/>
      <c r="F66" s="22"/>
      <c r="G66" s="22"/>
      <c r="H66" s="50"/>
      <c r="I66" s="22"/>
      <c r="J66" s="22"/>
      <c r="K66" s="22"/>
      <c r="L66" s="22"/>
      <c r="M66" s="22"/>
      <c r="N66" s="22"/>
      <c r="O66" s="22"/>
      <c r="P66" s="22"/>
    </row>
    <row r="67" spans="1:16" ht="16" x14ac:dyDescent="0.2">
      <c r="A67" s="22" t="s">
        <v>438</v>
      </c>
      <c r="B67" s="22"/>
      <c r="C67" s="43" t="s">
        <v>105</v>
      </c>
      <c r="D67" s="22" t="s">
        <v>296</v>
      </c>
      <c r="E67" s="22"/>
      <c r="F67" s="22"/>
      <c r="G67" s="22"/>
      <c r="H67" s="50"/>
      <c r="I67" s="22"/>
      <c r="J67" s="22"/>
      <c r="K67" s="22"/>
      <c r="L67" s="22"/>
      <c r="M67" s="22"/>
      <c r="N67" s="22"/>
      <c r="O67" s="22"/>
      <c r="P67" s="22"/>
    </row>
    <row r="68" spans="1:16" ht="16" x14ac:dyDescent="0.2">
      <c r="A68" s="22" t="s">
        <v>438</v>
      </c>
      <c r="B68" s="22"/>
      <c r="C68" s="43" t="s">
        <v>106</v>
      </c>
      <c r="D68" s="22" t="s">
        <v>297</v>
      </c>
      <c r="E68" s="22"/>
      <c r="F68" s="22"/>
      <c r="G68" s="22"/>
      <c r="H68" s="50"/>
      <c r="I68" s="22"/>
      <c r="J68" s="22"/>
      <c r="K68" s="22"/>
      <c r="L68" s="22"/>
      <c r="M68" s="22"/>
      <c r="N68" s="22"/>
      <c r="O68" s="22"/>
      <c r="P68" s="22"/>
    </row>
    <row r="69" spans="1:16" ht="16" x14ac:dyDescent="0.2">
      <c r="A69" s="22" t="s">
        <v>438</v>
      </c>
      <c r="B69" s="22"/>
      <c r="C69" s="43" t="s">
        <v>107</v>
      </c>
      <c r="D69" s="22" t="s">
        <v>298</v>
      </c>
      <c r="E69" s="22"/>
      <c r="F69" s="22"/>
      <c r="G69" s="22"/>
      <c r="H69" s="50"/>
      <c r="I69" s="22"/>
      <c r="J69" s="22"/>
      <c r="K69" s="22"/>
      <c r="L69" s="22"/>
      <c r="M69" s="22"/>
      <c r="N69" s="22"/>
      <c r="O69" s="22"/>
      <c r="P69" s="22"/>
    </row>
    <row r="70" spans="1:16" ht="16" x14ac:dyDescent="0.2">
      <c r="A70" s="22" t="s">
        <v>438</v>
      </c>
      <c r="B70" s="22"/>
      <c r="C70" s="43" t="s">
        <v>108</v>
      </c>
      <c r="D70" s="22" t="s">
        <v>299</v>
      </c>
      <c r="E70" s="22"/>
      <c r="F70" s="22"/>
      <c r="G70" s="22"/>
      <c r="H70" s="50"/>
      <c r="I70" s="22"/>
      <c r="J70" s="22"/>
      <c r="K70" s="22"/>
      <c r="L70" s="22"/>
      <c r="M70" s="22"/>
      <c r="N70" s="22"/>
      <c r="O70" s="22"/>
      <c r="P70" s="22"/>
    </row>
    <row r="71" spans="1:16" ht="16" x14ac:dyDescent="0.2">
      <c r="A71" s="22" t="s">
        <v>438</v>
      </c>
      <c r="B71" s="22"/>
      <c r="C71" s="43" t="s">
        <v>109</v>
      </c>
      <c r="D71" s="22" t="s">
        <v>300</v>
      </c>
      <c r="E71" s="22"/>
      <c r="F71" s="22"/>
      <c r="G71" s="22"/>
      <c r="H71" s="50"/>
      <c r="I71" s="22"/>
      <c r="J71" s="22"/>
      <c r="K71" s="22"/>
      <c r="L71" s="22"/>
      <c r="M71" s="22"/>
      <c r="N71" s="22"/>
      <c r="O71" s="22"/>
      <c r="P71" s="22"/>
    </row>
    <row r="72" spans="1:16" ht="16" x14ac:dyDescent="0.2">
      <c r="A72" s="22" t="s">
        <v>438</v>
      </c>
      <c r="B72" s="22"/>
      <c r="C72" s="43" t="s">
        <v>110</v>
      </c>
      <c r="D72" s="22" t="s">
        <v>301</v>
      </c>
      <c r="E72" s="22"/>
      <c r="F72" s="22"/>
      <c r="G72" s="22"/>
      <c r="H72" s="50"/>
      <c r="I72" s="22"/>
      <c r="J72" s="22"/>
      <c r="K72" s="22"/>
      <c r="L72" s="22"/>
      <c r="M72" s="22"/>
      <c r="N72" s="22"/>
      <c r="O72" s="22"/>
      <c r="P72" s="22"/>
    </row>
    <row r="73" spans="1:16" ht="16" x14ac:dyDescent="0.2">
      <c r="A73" s="22" t="s">
        <v>438</v>
      </c>
      <c r="B73" s="22"/>
      <c r="C73" s="43" t="s">
        <v>111</v>
      </c>
      <c r="D73" s="22" t="s">
        <v>302</v>
      </c>
      <c r="E73" s="22"/>
      <c r="F73" s="22"/>
      <c r="G73" s="22"/>
      <c r="H73" s="50"/>
      <c r="I73" s="22"/>
      <c r="J73" s="22"/>
      <c r="K73" s="22"/>
      <c r="L73" s="22"/>
      <c r="M73" s="22"/>
      <c r="N73" s="22"/>
      <c r="O73" s="22"/>
      <c r="P73" s="22"/>
    </row>
    <row r="74" spans="1:16" ht="16" x14ac:dyDescent="0.2">
      <c r="A74" s="22" t="s">
        <v>438</v>
      </c>
      <c r="B74" s="22"/>
      <c r="C74" s="43" t="s">
        <v>112</v>
      </c>
      <c r="D74" s="22" t="s">
        <v>303</v>
      </c>
      <c r="E74" s="22"/>
      <c r="F74" s="22"/>
      <c r="G74" s="22"/>
      <c r="H74" s="50"/>
      <c r="I74" s="22"/>
      <c r="J74" s="22"/>
      <c r="K74" s="22"/>
      <c r="L74" s="22"/>
      <c r="M74" s="22"/>
      <c r="N74" s="22"/>
      <c r="O74" s="22"/>
      <c r="P74" s="22"/>
    </row>
    <row r="75" spans="1:16" ht="16" x14ac:dyDescent="0.2">
      <c r="A75" s="22" t="s">
        <v>438</v>
      </c>
      <c r="B75" s="22"/>
      <c r="C75" s="43" t="s">
        <v>113</v>
      </c>
      <c r="D75" s="22" t="s">
        <v>304</v>
      </c>
      <c r="E75" s="22"/>
      <c r="F75" s="22"/>
      <c r="G75" s="22"/>
      <c r="H75" s="50"/>
      <c r="I75" s="22"/>
      <c r="J75" s="22"/>
      <c r="K75" s="22"/>
      <c r="L75" s="22"/>
      <c r="M75" s="22"/>
      <c r="N75" s="22"/>
      <c r="O75" s="22"/>
      <c r="P75" s="22"/>
    </row>
    <row r="76" spans="1:16" ht="16" x14ac:dyDescent="0.2">
      <c r="A76" s="22" t="s">
        <v>438</v>
      </c>
      <c r="B76" s="46" t="s">
        <v>114</v>
      </c>
      <c r="C76" s="43" t="s">
        <v>115</v>
      </c>
      <c r="D76" s="22" t="s">
        <v>305</v>
      </c>
      <c r="E76" s="22"/>
      <c r="F76" s="22"/>
      <c r="G76" s="22"/>
      <c r="H76" s="50"/>
      <c r="I76" s="22"/>
      <c r="J76" s="22"/>
      <c r="K76" s="22"/>
      <c r="L76" s="22"/>
      <c r="M76" s="22"/>
      <c r="N76" s="22"/>
      <c r="O76" s="22"/>
      <c r="P76" s="22"/>
    </row>
    <row r="77" spans="1:16" ht="16" x14ac:dyDescent="0.2">
      <c r="A77" s="22" t="s">
        <v>438</v>
      </c>
      <c r="B77" s="22"/>
      <c r="C77" s="43" t="s">
        <v>116</v>
      </c>
      <c r="D77" s="22" t="s">
        <v>306</v>
      </c>
      <c r="E77" s="22"/>
      <c r="F77" s="22"/>
      <c r="G77" s="22"/>
      <c r="H77" s="50"/>
      <c r="I77" s="22"/>
      <c r="J77" s="22"/>
      <c r="K77" s="22"/>
      <c r="L77" s="22"/>
      <c r="M77" s="22"/>
      <c r="N77" s="22"/>
      <c r="O77" s="22"/>
      <c r="P77" s="22"/>
    </row>
    <row r="78" spans="1:16" ht="16" x14ac:dyDescent="0.2">
      <c r="A78" s="22" t="s">
        <v>438</v>
      </c>
      <c r="B78" s="22"/>
      <c r="C78" s="43" t="s">
        <v>117</v>
      </c>
      <c r="D78" s="22" t="s">
        <v>307</v>
      </c>
      <c r="E78" s="22"/>
      <c r="F78" s="22"/>
      <c r="G78" s="22"/>
      <c r="H78" s="50"/>
      <c r="I78" s="22"/>
      <c r="J78" s="22"/>
      <c r="K78" s="22"/>
      <c r="L78" s="22"/>
      <c r="M78" s="22"/>
      <c r="N78" s="22"/>
      <c r="O78" s="22"/>
      <c r="P78" s="22"/>
    </row>
    <row r="79" spans="1:16" ht="16" x14ac:dyDescent="0.2">
      <c r="A79" s="22" t="s">
        <v>438</v>
      </c>
      <c r="B79" s="22"/>
      <c r="C79" s="43" t="s">
        <v>118</v>
      </c>
      <c r="D79" s="22" t="s">
        <v>308</v>
      </c>
      <c r="E79" s="22"/>
      <c r="F79" s="22"/>
      <c r="G79" s="22"/>
      <c r="H79" s="50"/>
      <c r="I79" s="22"/>
      <c r="J79" s="22"/>
      <c r="K79" s="22"/>
      <c r="L79" s="22"/>
      <c r="M79" s="22"/>
      <c r="N79" s="22"/>
      <c r="O79" s="22"/>
      <c r="P79" s="22"/>
    </row>
    <row r="80" spans="1:16" ht="16" x14ac:dyDescent="0.2">
      <c r="A80" s="22" t="s">
        <v>438</v>
      </c>
      <c r="B80" s="22"/>
      <c r="C80" s="43" t="s">
        <v>119</v>
      </c>
      <c r="D80" s="22" t="s">
        <v>309</v>
      </c>
      <c r="E80" s="22"/>
      <c r="F80" s="22"/>
      <c r="G80" s="22"/>
      <c r="H80" s="50"/>
      <c r="I80" s="22"/>
      <c r="J80" s="22"/>
      <c r="K80" s="22"/>
      <c r="L80" s="22"/>
      <c r="M80" s="22"/>
      <c r="N80" s="22"/>
      <c r="O80" s="22"/>
      <c r="P80" s="22"/>
    </row>
    <row r="81" spans="1:16" ht="16" x14ac:dyDescent="0.2">
      <c r="A81" s="22" t="s">
        <v>438</v>
      </c>
      <c r="B81" s="22"/>
      <c r="C81" s="43" t="s">
        <v>120</v>
      </c>
      <c r="D81" s="22" t="s">
        <v>310</v>
      </c>
      <c r="E81" s="22"/>
      <c r="F81" s="22"/>
      <c r="G81" s="22"/>
      <c r="H81" s="50"/>
      <c r="I81" s="22"/>
      <c r="J81" s="22"/>
      <c r="K81" s="22"/>
      <c r="L81" s="22"/>
      <c r="M81" s="22"/>
      <c r="N81" s="22"/>
      <c r="O81" s="22"/>
      <c r="P81" s="22"/>
    </row>
    <row r="82" spans="1:16" ht="16" x14ac:dyDescent="0.2">
      <c r="A82" s="22" t="s">
        <v>438</v>
      </c>
      <c r="B82" s="22"/>
      <c r="C82" s="43" t="s">
        <v>121</v>
      </c>
      <c r="D82" s="22" t="s">
        <v>311</v>
      </c>
      <c r="E82" s="22"/>
      <c r="F82" s="22"/>
      <c r="G82" s="22"/>
      <c r="H82" s="50"/>
      <c r="I82" s="22"/>
      <c r="J82" s="22"/>
      <c r="K82" s="22"/>
      <c r="L82" s="22"/>
      <c r="M82" s="22"/>
      <c r="N82" s="22"/>
      <c r="O82" s="22"/>
      <c r="P82" s="22"/>
    </row>
    <row r="83" spans="1:16" ht="16" x14ac:dyDescent="0.2">
      <c r="A83" s="22" t="s">
        <v>438</v>
      </c>
      <c r="B83" s="22"/>
      <c r="C83" s="43" t="s">
        <v>122</v>
      </c>
      <c r="D83" s="22" t="s">
        <v>312</v>
      </c>
      <c r="E83" s="22"/>
      <c r="F83" s="22"/>
      <c r="G83" s="22"/>
      <c r="H83" s="50"/>
      <c r="I83" s="22"/>
      <c r="J83" s="22"/>
      <c r="K83" s="22"/>
      <c r="L83" s="22"/>
      <c r="M83" s="22"/>
      <c r="N83" s="22"/>
      <c r="O83" s="22"/>
      <c r="P83" s="22"/>
    </row>
    <row r="84" spans="1:16" ht="16" x14ac:dyDescent="0.2">
      <c r="A84" s="22" t="s">
        <v>438</v>
      </c>
      <c r="B84" s="22"/>
      <c r="C84" s="43" t="s">
        <v>123</v>
      </c>
      <c r="D84" s="22" t="s">
        <v>313</v>
      </c>
      <c r="E84" s="22"/>
      <c r="F84" s="22"/>
      <c r="G84" s="22"/>
      <c r="H84" s="50"/>
      <c r="I84" s="22"/>
      <c r="J84" s="22"/>
      <c r="K84" s="22"/>
      <c r="L84" s="22"/>
      <c r="M84" s="22"/>
      <c r="N84" s="22"/>
      <c r="O84" s="22"/>
      <c r="P84" s="22"/>
    </row>
    <row r="85" spans="1:16" ht="16" x14ac:dyDescent="0.2">
      <c r="A85" s="22" t="s">
        <v>438</v>
      </c>
      <c r="B85" s="22"/>
      <c r="C85" s="43" t="s">
        <v>124</v>
      </c>
      <c r="D85" s="22" t="s">
        <v>314</v>
      </c>
      <c r="E85" s="22"/>
      <c r="F85" s="22"/>
      <c r="G85" s="22"/>
      <c r="H85" s="50"/>
      <c r="I85" s="22"/>
      <c r="J85" s="22"/>
      <c r="K85" s="22"/>
      <c r="L85" s="22"/>
      <c r="M85" s="22"/>
      <c r="N85" s="22"/>
      <c r="O85" s="22"/>
      <c r="P85" s="22"/>
    </row>
    <row r="86" spans="1:16" ht="16" x14ac:dyDescent="0.2">
      <c r="A86" s="22" t="s">
        <v>438</v>
      </c>
      <c r="B86" s="46" t="s">
        <v>125</v>
      </c>
      <c r="C86" s="47" t="s">
        <v>126</v>
      </c>
      <c r="D86" s="22" t="s">
        <v>315</v>
      </c>
      <c r="E86" s="22"/>
      <c r="F86" s="22"/>
      <c r="G86" s="22"/>
      <c r="H86" s="50"/>
      <c r="I86" s="22"/>
      <c r="J86" s="22"/>
      <c r="K86" s="22"/>
      <c r="L86" s="22"/>
      <c r="M86" s="22"/>
      <c r="N86" s="22"/>
      <c r="O86" s="22"/>
      <c r="P86" s="22"/>
    </row>
    <row r="87" spans="1:16" ht="16" x14ac:dyDescent="0.2">
      <c r="A87" s="22" t="s">
        <v>438</v>
      </c>
      <c r="B87" s="22"/>
      <c r="C87" s="47" t="s">
        <v>88</v>
      </c>
      <c r="D87" s="22" t="s">
        <v>316</v>
      </c>
      <c r="E87" s="22"/>
      <c r="F87" s="22"/>
      <c r="G87" s="22"/>
      <c r="H87" s="50"/>
      <c r="I87" s="22"/>
      <c r="J87" s="22"/>
      <c r="K87" s="22"/>
      <c r="L87" s="22"/>
      <c r="M87" s="22"/>
      <c r="N87" s="22"/>
      <c r="O87" s="22"/>
      <c r="P87" s="22"/>
    </row>
    <row r="88" spans="1:16" ht="16" x14ac:dyDescent="0.2">
      <c r="A88" s="22" t="s">
        <v>438</v>
      </c>
      <c r="B88" s="22"/>
      <c r="C88" s="47" t="s">
        <v>127</v>
      </c>
      <c r="D88" s="22" t="s">
        <v>317</v>
      </c>
      <c r="E88" s="22"/>
      <c r="F88" s="22"/>
      <c r="G88" s="22"/>
      <c r="H88" s="50"/>
      <c r="I88" s="22"/>
      <c r="J88" s="22"/>
      <c r="K88" s="22"/>
      <c r="L88" s="22"/>
      <c r="M88" s="22"/>
      <c r="N88" s="22"/>
      <c r="O88" s="22"/>
      <c r="P88" s="22"/>
    </row>
    <row r="89" spans="1:16" ht="16" x14ac:dyDescent="0.2">
      <c r="A89" s="22" t="s">
        <v>438</v>
      </c>
      <c r="B89" s="22"/>
      <c r="C89" s="47" t="s">
        <v>128</v>
      </c>
      <c r="D89" s="22" t="s">
        <v>318</v>
      </c>
      <c r="E89" s="22"/>
      <c r="F89" s="22"/>
      <c r="G89" s="22"/>
      <c r="H89" s="50"/>
      <c r="I89" s="22"/>
      <c r="J89" s="22"/>
      <c r="K89" s="22"/>
      <c r="L89" s="22"/>
      <c r="M89" s="22"/>
      <c r="N89" s="22"/>
      <c r="O89" s="22"/>
      <c r="P89" s="22"/>
    </row>
    <row r="90" spans="1:16" ht="32" x14ac:dyDescent="0.2">
      <c r="A90" s="22" t="s">
        <v>438</v>
      </c>
      <c r="B90" s="46" t="s">
        <v>129</v>
      </c>
      <c r="C90" s="43" t="s">
        <v>130</v>
      </c>
      <c r="D90" s="22" t="s">
        <v>319</v>
      </c>
      <c r="E90" s="22"/>
      <c r="F90" s="22"/>
      <c r="G90" s="22"/>
      <c r="H90" s="50"/>
      <c r="I90" s="22"/>
      <c r="J90" s="22"/>
      <c r="K90" s="22"/>
      <c r="L90" s="22"/>
      <c r="M90" s="22"/>
      <c r="N90" s="22"/>
      <c r="O90" s="22"/>
      <c r="P90" s="22"/>
    </row>
    <row r="91" spans="1:16" ht="16" x14ac:dyDescent="0.2">
      <c r="A91" s="22" t="s">
        <v>438</v>
      </c>
      <c r="B91" s="22"/>
      <c r="C91" s="43" t="s">
        <v>131</v>
      </c>
      <c r="D91" s="22" t="s">
        <v>320</v>
      </c>
      <c r="E91" s="22"/>
      <c r="F91" s="22"/>
      <c r="G91" s="22"/>
      <c r="H91" s="50"/>
      <c r="I91" s="22"/>
      <c r="J91" s="22"/>
      <c r="K91" s="22"/>
      <c r="L91" s="22"/>
      <c r="M91" s="22"/>
      <c r="N91" s="22"/>
      <c r="O91" s="22"/>
      <c r="P91" s="22"/>
    </row>
    <row r="92" spans="1:16" ht="16" x14ac:dyDescent="0.2">
      <c r="A92" s="22" t="s">
        <v>438</v>
      </c>
      <c r="B92" s="22"/>
      <c r="C92" s="43" t="s">
        <v>132</v>
      </c>
      <c r="D92" s="22" t="s">
        <v>321</v>
      </c>
      <c r="E92" s="22"/>
      <c r="F92" s="22"/>
      <c r="G92" s="22"/>
      <c r="H92" s="50"/>
      <c r="I92" s="22"/>
      <c r="J92" s="22"/>
      <c r="K92" s="22"/>
      <c r="L92" s="22"/>
      <c r="M92" s="22"/>
      <c r="N92" s="22"/>
      <c r="O92" s="22"/>
      <c r="P92" s="22"/>
    </row>
    <row r="93" spans="1:16" ht="16" x14ac:dyDescent="0.2">
      <c r="A93" s="22" t="s">
        <v>438</v>
      </c>
      <c r="B93" s="22"/>
      <c r="C93" s="43" t="s">
        <v>133</v>
      </c>
      <c r="D93" s="22" t="s">
        <v>322</v>
      </c>
      <c r="E93" s="22"/>
      <c r="F93" s="22"/>
      <c r="G93" s="22"/>
      <c r="H93" s="50"/>
      <c r="I93" s="22"/>
      <c r="J93" s="22"/>
      <c r="K93" s="22"/>
      <c r="L93" s="22"/>
      <c r="M93" s="22"/>
      <c r="N93" s="22"/>
      <c r="O93" s="22"/>
      <c r="P93" s="22"/>
    </row>
    <row r="94" spans="1:16" ht="16" x14ac:dyDescent="0.2">
      <c r="A94" s="22" t="s">
        <v>438</v>
      </c>
      <c r="B94" s="22"/>
      <c r="C94" s="43" t="s">
        <v>134</v>
      </c>
      <c r="D94" s="22" t="s">
        <v>323</v>
      </c>
      <c r="E94" s="22"/>
      <c r="F94" s="22"/>
      <c r="G94" s="22"/>
      <c r="H94" s="50"/>
      <c r="I94" s="22"/>
      <c r="J94" s="22"/>
      <c r="K94" s="22"/>
      <c r="L94" s="22"/>
      <c r="M94" s="22"/>
      <c r="N94" s="22"/>
      <c r="O94" s="22"/>
      <c r="P94" s="22"/>
    </row>
    <row r="95" spans="1:16" ht="16" x14ac:dyDescent="0.2">
      <c r="A95" s="22" t="s">
        <v>438</v>
      </c>
      <c r="B95" s="22"/>
      <c r="C95" s="43" t="s">
        <v>135</v>
      </c>
      <c r="D95" s="22" t="s">
        <v>324</v>
      </c>
      <c r="E95" s="22"/>
      <c r="F95" s="22"/>
      <c r="G95" s="22"/>
      <c r="H95" s="50"/>
      <c r="I95" s="22"/>
      <c r="J95" s="22"/>
      <c r="K95" s="22"/>
      <c r="L95" s="22"/>
      <c r="M95" s="22"/>
      <c r="N95" s="22"/>
      <c r="O95" s="22"/>
      <c r="P95" s="22"/>
    </row>
    <row r="96" spans="1:16" ht="16" x14ac:dyDescent="0.2">
      <c r="A96" s="22" t="s">
        <v>438</v>
      </c>
      <c r="B96" s="22"/>
      <c r="C96" s="43" t="s">
        <v>136</v>
      </c>
      <c r="D96" s="22" t="s">
        <v>325</v>
      </c>
      <c r="E96" s="22"/>
      <c r="F96" s="22"/>
      <c r="G96" s="22"/>
      <c r="H96" s="50"/>
      <c r="I96" s="22"/>
      <c r="J96" s="22"/>
      <c r="K96" s="22"/>
      <c r="L96" s="22"/>
      <c r="M96" s="22"/>
      <c r="N96" s="22"/>
      <c r="O96" s="22"/>
      <c r="P96" s="22"/>
    </row>
    <row r="97" spans="1:16" ht="16" x14ac:dyDescent="0.2">
      <c r="A97" s="22" t="s">
        <v>438</v>
      </c>
      <c r="B97" s="22"/>
      <c r="C97" s="43" t="s">
        <v>137</v>
      </c>
      <c r="D97" s="22" t="s">
        <v>326</v>
      </c>
      <c r="E97" s="22"/>
      <c r="F97" s="22"/>
      <c r="G97" s="22"/>
      <c r="H97" s="50"/>
      <c r="I97" s="22"/>
      <c r="J97" s="22"/>
      <c r="K97" s="22"/>
      <c r="L97" s="22"/>
      <c r="M97" s="22"/>
      <c r="N97" s="22"/>
      <c r="O97" s="22"/>
      <c r="P97" s="22"/>
    </row>
    <row r="98" spans="1:16" ht="16" x14ac:dyDescent="0.2">
      <c r="A98" s="22" t="s">
        <v>438</v>
      </c>
      <c r="B98" s="22"/>
      <c r="C98" s="43" t="s">
        <v>138</v>
      </c>
      <c r="D98" s="22" t="s">
        <v>327</v>
      </c>
      <c r="E98" s="22"/>
      <c r="F98" s="22"/>
      <c r="G98" s="22"/>
      <c r="H98" s="50"/>
      <c r="I98" s="22"/>
      <c r="J98" s="22"/>
      <c r="K98" s="22"/>
      <c r="L98" s="22"/>
      <c r="M98" s="22"/>
      <c r="N98" s="22"/>
      <c r="O98" s="22"/>
      <c r="P98" s="22"/>
    </row>
    <row r="99" spans="1:16" ht="16" x14ac:dyDescent="0.2">
      <c r="A99" s="22" t="s">
        <v>438</v>
      </c>
      <c r="B99" s="22"/>
      <c r="C99" s="43" t="s">
        <v>139</v>
      </c>
      <c r="D99" s="22" t="s">
        <v>328</v>
      </c>
      <c r="E99" s="22"/>
      <c r="F99" s="22"/>
      <c r="G99" s="22"/>
      <c r="H99" s="50"/>
      <c r="I99" s="22"/>
      <c r="J99" s="22"/>
      <c r="K99" s="22"/>
      <c r="L99" s="22"/>
      <c r="M99" s="22"/>
      <c r="N99" s="22"/>
      <c r="O99" s="22"/>
      <c r="P99" s="22"/>
    </row>
    <row r="100" spans="1:16" ht="16" x14ac:dyDescent="0.2">
      <c r="A100" s="22" t="s">
        <v>438</v>
      </c>
      <c r="B100" s="22"/>
      <c r="C100" s="43" t="s">
        <v>140</v>
      </c>
      <c r="D100" s="22" t="s">
        <v>329</v>
      </c>
      <c r="E100" s="22"/>
      <c r="F100" s="22"/>
      <c r="G100" s="22"/>
      <c r="H100" s="50"/>
      <c r="I100" s="22"/>
      <c r="J100" s="22"/>
      <c r="K100" s="22"/>
      <c r="L100" s="22"/>
      <c r="M100" s="22"/>
      <c r="N100" s="22"/>
      <c r="O100" s="22"/>
      <c r="P100" s="22"/>
    </row>
    <row r="101" spans="1:16" ht="16" x14ac:dyDescent="0.2">
      <c r="A101" s="22" t="s">
        <v>438</v>
      </c>
      <c r="B101" s="22"/>
      <c r="C101" s="43" t="s">
        <v>141</v>
      </c>
      <c r="D101" s="22" t="s">
        <v>330</v>
      </c>
      <c r="E101" s="22"/>
      <c r="F101" s="22"/>
      <c r="G101" s="22"/>
      <c r="H101" s="50"/>
      <c r="I101" s="22"/>
      <c r="J101" s="22"/>
      <c r="K101" s="22"/>
      <c r="L101" s="22"/>
      <c r="M101" s="22"/>
      <c r="N101" s="22"/>
      <c r="O101" s="22"/>
      <c r="P101" s="22"/>
    </row>
    <row r="102" spans="1:16" ht="16" x14ac:dyDescent="0.2">
      <c r="A102" s="22" t="s">
        <v>438</v>
      </c>
      <c r="B102" s="22"/>
      <c r="C102" s="43" t="s">
        <v>142</v>
      </c>
      <c r="D102" s="22" t="s">
        <v>331</v>
      </c>
      <c r="E102" s="22"/>
      <c r="F102" s="22"/>
      <c r="G102" s="22"/>
      <c r="H102" s="50"/>
      <c r="I102" s="22"/>
      <c r="J102" s="22"/>
      <c r="K102" s="22"/>
      <c r="L102" s="22"/>
      <c r="M102" s="22"/>
      <c r="N102" s="22"/>
      <c r="O102" s="22"/>
      <c r="P102" s="22"/>
    </row>
    <row r="103" spans="1:16" ht="16" x14ac:dyDescent="0.2">
      <c r="A103" s="22" t="s">
        <v>438</v>
      </c>
      <c r="B103" s="22"/>
      <c r="C103" s="43" t="s">
        <v>143</v>
      </c>
      <c r="D103" s="22" t="s">
        <v>332</v>
      </c>
      <c r="E103" s="22"/>
      <c r="F103" s="22"/>
      <c r="G103" s="22"/>
      <c r="H103" s="50"/>
      <c r="I103" s="22"/>
      <c r="J103" s="22"/>
      <c r="K103" s="22"/>
      <c r="L103" s="22"/>
      <c r="M103" s="22"/>
      <c r="N103" s="22"/>
      <c r="O103" s="22"/>
      <c r="P103" s="22"/>
    </row>
    <row r="104" spans="1:16" ht="16" x14ac:dyDescent="0.2">
      <c r="A104" s="22" t="s">
        <v>438</v>
      </c>
      <c r="B104" s="22"/>
      <c r="C104" s="43" t="s">
        <v>144</v>
      </c>
      <c r="D104" s="22" t="s">
        <v>333</v>
      </c>
      <c r="E104" s="22"/>
      <c r="F104" s="22"/>
      <c r="G104" s="22"/>
      <c r="H104" s="50"/>
      <c r="I104" s="22"/>
      <c r="J104" s="22"/>
      <c r="K104" s="22"/>
      <c r="L104" s="22"/>
      <c r="M104" s="22"/>
      <c r="N104" s="22"/>
      <c r="O104" s="22"/>
      <c r="P104" s="22"/>
    </row>
    <row r="105" spans="1:16" ht="16" x14ac:dyDescent="0.2">
      <c r="A105" s="22" t="s">
        <v>438</v>
      </c>
      <c r="B105" s="22"/>
      <c r="C105" s="43" t="s">
        <v>145</v>
      </c>
      <c r="D105" s="22" t="s">
        <v>334</v>
      </c>
      <c r="E105" s="22"/>
      <c r="F105" s="22"/>
      <c r="G105" s="22"/>
      <c r="H105" s="50"/>
      <c r="I105" s="22"/>
      <c r="J105" s="22"/>
      <c r="K105" s="22"/>
      <c r="L105" s="22"/>
      <c r="M105" s="22"/>
      <c r="N105" s="22"/>
      <c r="O105" s="22"/>
      <c r="P105" s="22"/>
    </row>
    <row r="106" spans="1:16" ht="16" x14ac:dyDescent="0.2">
      <c r="A106" s="22" t="s">
        <v>438</v>
      </c>
      <c r="B106" s="22"/>
      <c r="C106" s="43" t="s">
        <v>146</v>
      </c>
      <c r="D106" s="22" t="s">
        <v>335</v>
      </c>
      <c r="E106" s="22"/>
      <c r="F106" s="22"/>
      <c r="G106" s="22"/>
      <c r="H106" s="50"/>
      <c r="I106" s="22"/>
      <c r="J106" s="22"/>
      <c r="K106" s="22"/>
      <c r="L106" s="22"/>
      <c r="M106" s="22"/>
      <c r="N106" s="22"/>
      <c r="O106" s="22"/>
      <c r="P106" s="22"/>
    </row>
    <row r="107" spans="1:16" ht="32" x14ac:dyDescent="0.2">
      <c r="A107" s="22" t="s">
        <v>438</v>
      </c>
      <c r="B107" s="22"/>
      <c r="C107" s="43" t="s">
        <v>147</v>
      </c>
      <c r="D107" s="22" t="s">
        <v>336</v>
      </c>
      <c r="E107" s="22"/>
      <c r="F107" s="22"/>
      <c r="G107" s="22"/>
      <c r="H107" s="50"/>
      <c r="I107" s="22"/>
      <c r="J107" s="22"/>
      <c r="K107" s="22"/>
      <c r="L107" s="22"/>
      <c r="M107" s="22"/>
      <c r="N107" s="22"/>
      <c r="O107" s="22"/>
      <c r="P107" s="22"/>
    </row>
    <row r="108" spans="1:16" ht="16" x14ac:dyDescent="0.2">
      <c r="A108" s="22" t="s">
        <v>438</v>
      </c>
      <c r="B108" s="22"/>
      <c r="C108" s="43" t="s">
        <v>148</v>
      </c>
      <c r="D108" s="22" t="s">
        <v>337</v>
      </c>
      <c r="E108" s="22"/>
      <c r="F108" s="22"/>
      <c r="G108" s="22"/>
      <c r="H108" s="50"/>
      <c r="I108" s="22"/>
      <c r="J108" s="22"/>
      <c r="K108" s="22"/>
      <c r="L108" s="22"/>
      <c r="M108" s="22"/>
      <c r="N108" s="22"/>
      <c r="O108" s="22"/>
      <c r="P108" s="22"/>
    </row>
    <row r="109" spans="1:16" ht="16" x14ac:dyDescent="0.2">
      <c r="A109" s="22" t="s">
        <v>445</v>
      </c>
      <c r="B109" s="46" t="s">
        <v>149</v>
      </c>
      <c r="C109" s="47" t="s">
        <v>150</v>
      </c>
      <c r="D109" s="22" t="s">
        <v>338</v>
      </c>
      <c r="E109" s="22"/>
      <c r="F109" s="22"/>
      <c r="G109" s="22"/>
      <c r="H109" s="50"/>
      <c r="I109" s="22"/>
      <c r="J109" s="17">
        <v>45214</v>
      </c>
      <c r="K109" s="17">
        <v>45250</v>
      </c>
      <c r="L109" s="22"/>
      <c r="M109" s="22"/>
      <c r="N109" s="22"/>
      <c r="O109" s="22"/>
      <c r="P109" s="22"/>
    </row>
    <row r="110" spans="1:16" ht="16" x14ac:dyDescent="0.2">
      <c r="A110" s="22" t="s">
        <v>445</v>
      </c>
      <c r="B110" s="22"/>
      <c r="C110" s="47" t="s">
        <v>151</v>
      </c>
      <c r="D110" s="22" t="s">
        <v>339</v>
      </c>
      <c r="E110" s="22"/>
      <c r="F110" s="22"/>
      <c r="G110" s="22"/>
      <c r="H110" s="50"/>
      <c r="I110" s="22"/>
      <c r="J110" s="22"/>
      <c r="K110" s="22"/>
      <c r="L110" s="22"/>
      <c r="M110" s="22"/>
      <c r="N110" s="22"/>
      <c r="O110" s="22"/>
      <c r="P110" s="22"/>
    </row>
    <row r="111" spans="1:16" ht="16" x14ac:dyDescent="0.2">
      <c r="A111" s="22" t="s">
        <v>445</v>
      </c>
      <c r="B111" s="22"/>
      <c r="C111" s="47" t="s">
        <v>152</v>
      </c>
      <c r="D111" s="22" t="s">
        <v>340</v>
      </c>
      <c r="E111" s="22"/>
      <c r="F111" s="22"/>
      <c r="G111" s="22"/>
      <c r="H111" s="50"/>
      <c r="I111" s="22"/>
      <c r="J111" s="17"/>
      <c r="K111" s="17"/>
      <c r="L111" s="22"/>
      <c r="M111" s="22"/>
      <c r="N111" s="22"/>
      <c r="O111" s="22"/>
      <c r="P111" s="22"/>
    </row>
    <row r="112" spans="1:16" ht="16" x14ac:dyDescent="0.2">
      <c r="A112" s="22" t="s">
        <v>445</v>
      </c>
      <c r="B112" s="22"/>
      <c r="C112" s="47" t="s">
        <v>153</v>
      </c>
      <c r="D112" s="22" t="s">
        <v>341</v>
      </c>
      <c r="E112" s="22"/>
      <c r="F112" s="22"/>
      <c r="G112" s="22"/>
      <c r="H112" s="50"/>
      <c r="I112" s="22"/>
      <c r="J112" s="18"/>
      <c r="K112" s="18"/>
      <c r="L112" s="22"/>
      <c r="M112" s="22"/>
      <c r="N112" s="22"/>
      <c r="O112" s="22"/>
      <c r="P112" s="22"/>
    </row>
    <row r="113" spans="1:16" ht="16" x14ac:dyDescent="0.2">
      <c r="A113" s="22" t="s">
        <v>445</v>
      </c>
      <c r="B113" s="22"/>
      <c r="C113" s="47" t="s">
        <v>427</v>
      </c>
      <c r="D113" s="22" t="s">
        <v>342</v>
      </c>
      <c r="E113" s="22"/>
      <c r="F113" s="22"/>
      <c r="G113" s="22"/>
      <c r="H113" s="50"/>
      <c r="I113" s="22"/>
      <c r="J113" s="18"/>
      <c r="K113" s="18"/>
      <c r="L113" s="22"/>
      <c r="M113" s="22"/>
      <c r="N113" s="22"/>
      <c r="O113" s="22"/>
      <c r="P113" s="22"/>
    </row>
    <row r="114" spans="1:16" ht="16" x14ac:dyDescent="0.2">
      <c r="A114" s="22" t="s">
        <v>445</v>
      </c>
      <c r="B114" s="22"/>
      <c r="C114" s="47" t="s">
        <v>154</v>
      </c>
      <c r="D114" s="22" t="s">
        <v>343</v>
      </c>
      <c r="E114" s="22"/>
      <c r="F114" s="22"/>
      <c r="G114" s="22"/>
      <c r="H114" s="50"/>
      <c r="I114" s="22"/>
      <c r="J114" s="19"/>
      <c r="K114" s="19"/>
      <c r="L114" s="22"/>
      <c r="M114" s="22"/>
      <c r="N114" s="22"/>
      <c r="O114" s="22"/>
      <c r="P114" s="22"/>
    </row>
    <row r="115" spans="1:16" ht="16" x14ac:dyDescent="0.2">
      <c r="A115" s="22" t="s">
        <v>445</v>
      </c>
      <c r="B115" s="22"/>
      <c r="C115" s="20" t="s">
        <v>430</v>
      </c>
      <c r="D115" s="22" t="s">
        <v>344</v>
      </c>
      <c r="E115" s="22"/>
      <c r="F115" s="22"/>
      <c r="G115" s="22"/>
      <c r="H115" s="50"/>
      <c r="I115" s="22"/>
      <c r="J115" s="19"/>
      <c r="K115" s="19"/>
      <c r="L115" s="22"/>
      <c r="M115" s="22"/>
      <c r="N115" s="22"/>
      <c r="O115" s="22"/>
      <c r="P115" s="22"/>
    </row>
    <row r="116" spans="1:16" ht="16" x14ac:dyDescent="0.2">
      <c r="A116" s="22" t="s">
        <v>445</v>
      </c>
      <c r="B116" s="22"/>
      <c r="C116" s="20" t="s">
        <v>429</v>
      </c>
      <c r="D116" s="22" t="s">
        <v>345</v>
      </c>
      <c r="E116" s="22"/>
      <c r="F116" s="22"/>
      <c r="G116" s="22"/>
      <c r="H116" s="50"/>
      <c r="I116" s="22"/>
      <c r="J116" s="19"/>
      <c r="K116" s="19"/>
      <c r="L116" s="22"/>
      <c r="M116" s="22"/>
      <c r="N116" s="22"/>
      <c r="O116" s="22"/>
      <c r="P116" s="22"/>
    </row>
    <row r="117" spans="1:16" ht="16" x14ac:dyDescent="0.2">
      <c r="A117" s="22" t="s">
        <v>445</v>
      </c>
      <c r="B117" s="22"/>
      <c r="C117" s="47" t="s">
        <v>155</v>
      </c>
      <c r="D117" s="22" t="s">
        <v>346</v>
      </c>
      <c r="E117" s="22"/>
      <c r="F117" s="22"/>
      <c r="G117" s="22"/>
      <c r="H117" s="50"/>
      <c r="I117" s="22"/>
      <c r="J117" s="22"/>
      <c r="K117" s="22"/>
      <c r="L117" s="22"/>
      <c r="M117" s="22"/>
      <c r="N117" s="22"/>
      <c r="O117" s="22"/>
      <c r="P117" s="22"/>
    </row>
    <row r="118" spans="1:16" ht="16" x14ac:dyDescent="0.2">
      <c r="A118" s="22" t="s">
        <v>445</v>
      </c>
      <c r="B118" s="22"/>
      <c r="C118" s="47" t="s">
        <v>156</v>
      </c>
      <c r="D118" s="22" t="s">
        <v>347</v>
      </c>
      <c r="E118" s="22"/>
      <c r="F118" s="22"/>
      <c r="G118" s="22"/>
      <c r="H118" s="50"/>
      <c r="I118" s="22"/>
      <c r="J118" s="22"/>
      <c r="K118" s="22"/>
      <c r="L118" s="22"/>
      <c r="M118" s="22"/>
      <c r="N118" s="22"/>
      <c r="O118" s="22"/>
      <c r="P118" s="22"/>
    </row>
    <row r="119" spans="1:16" ht="16" x14ac:dyDescent="0.2">
      <c r="A119" s="22" t="s">
        <v>445</v>
      </c>
      <c r="B119" s="22"/>
      <c r="C119" s="47" t="s">
        <v>157</v>
      </c>
      <c r="D119" s="22" t="s">
        <v>348</v>
      </c>
      <c r="E119" s="22"/>
      <c r="F119" s="22"/>
      <c r="G119" s="22"/>
      <c r="H119" s="50"/>
      <c r="I119" s="22"/>
      <c r="J119" s="22"/>
      <c r="K119" s="22"/>
      <c r="L119" s="22"/>
      <c r="M119" s="22"/>
      <c r="N119" s="22"/>
      <c r="O119" s="22"/>
      <c r="P119" s="22"/>
    </row>
    <row r="120" spans="1:16" ht="16" x14ac:dyDescent="0.2">
      <c r="A120" s="22" t="s">
        <v>445</v>
      </c>
      <c r="B120" s="22"/>
      <c r="C120" s="47" t="s">
        <v>158</v>
      </c>
      <c r="D120" s="22" t="s">
        <v>349</v>
      </c>
      <c r="E120" s="22"/>
      <c r="F120" s="22"/>
      <c r="G120" s="22"/>
      <c r="H120" s="50"/>
      <c r="I120" s="22"/>
      <c r="J120" s="22"/>
      <c r="K120" s="22"/>
      <c r="L120" s="22"/>
      <c r="M120" s="22"/>
      <c r="N120" s="22"/>
      <c r="O120" s="22"/>
      <c r="P120" s="22"/>
    </row>
    <row r="121" spans="1:16" ht="16" x14ac:dyDescent="0.2">
      <c r="A121" s="22" t="s">
        <v>445</v>
      </c>
      <c r="B121" s="22"/>
      <c r="C121" s="47" t="s">
        <v>159</v>
      </c>
      <c r="D121" s="22" t="s">
        <v>350</v>
      </c>
      <c r="E121" s="22"/>
      <c r="F121" s="22"/>
      <c r="G121" s="22"/>
      <c r="H121" s="50"/>
      <c r="I121" s="22"/>
      <c r="J121" s="22"/>
      <c r="K121" s="22"/>
      <c r="L121" s="22"/>
      <c r="M121" s="22"/>
      <c r="N121" s="22"/>
      <c r="O121" s="22"/>
      <c r="P121" s="22"/>
    </row>
    <row r="122" spans="1:16" ht="18.5" customHeight="1" x14ac:dyDescent="0.2">
      <c r="A122" s="22" t="s">
        <v>445</v>
      </c>
      <c r="B122" s="22"/>
      <c r="C122" s="47" t="s">
        <v>160</v>
      </c>
      <c r="D122" s="22" t="s">
        <v>351</v>
      </c>
      <c r="E122" s="22"/>
      <c r="F122" s="22"/>
      <c r="G122" s="22"/>
      <c r="H122" s="50"/>
      <c r="I122" s="22"/>
      <c r="J122" s="22"/>
      <c r="K122" s="22"/>
      <c r="L122" s="22"/>
      <c r="M122" s="22"/>
      <c r="N122" s="22"/>
      <c r="O122" s="22"/>
      <c r="P122" s="22"/>
    </row>
    <row r="123" spans="1:16" ht="16" x14ac:dyDescent="0.2">
      <c r="A123" s="22" t="s">
        <v>445</v>
      </c>
      <c r="B123" s="22"/>
      <c r="C123" s="47" t="s">
        <v>161</v>
      </c>
      <c r="D123" s="22" t="s">
        <v>352</v>
      </c>
      <c r="E123" s="22"/>
      <c r="F123" s="22"/>
      <c r="G123" s="22"/>
      <c r="H123" s="50"/>
      <c r="I123" s="22"/>
      <c r="J123" s="22"/>
      <c r="K123" s="22"/>
      <c r="L123" s="22"/>
      <c r="M123" s="22"/>
      <c r="N123" s="22"/>
      <c r="O123" s="22"/>
      <c r="P123" s="22"/>
    </row>
    <row r="124" spans="1:16" ht="16" x14ac:dyDescent="0.2">
      <c r="A124" s="22" t="s">
        <v>445</v>
      </c>
      <c r="B124" s="22"/>
      <c r="C124" s="47" t="s">
        <v>162</v>
      </c>
      <c r="D124" s="22" t="s">
        <v>353</v>
      </c>
      <c r="E124" s="22"/>
      <c r="F124" s="22"/>
      <c r="G124" s="22"/>
      <c r="H124" s="50"/>
      <c r="I124" s="22"/>
      <c r="J124" s="22"/>
      <c r="K124" s="22"/>
      <c r="L124" s="22"/>
      <c r="M124" s="22"/>
      <c r="N124" s="22"/>
      <c r="O124" s="22"/>
      <c r="P124" s="22"/>
    </row>
    <row r="125" spans="1:16" ht="16" x14ac:dyDescent="0.2">
      <c r="A125" s="22" t="s">
        <v>445</v>
      </c>
      <c r="B125" s="22"/>
      <c r="C125" s="47" t="s">
        <v>163</v>
      </c>
      <c r="D125" s="22" t="s">
        <v>428</v>
      </c>
      <c r="E125" s="22"/>
      <c r="F125" s="22"/>
      <c r="G125" s="22"/>
      <c r="H125" s="50"/>
      <c r="I125" s="22"/>
      <c r="J125" s="22"/>
      <c r="K125" s="22"/>
      <c r="L125" s="22"/>
      <c r="M125" s="22"/>
      <c r="N125" s="22"/>
      <c r="O125" s="22"/>
      <c r="P125" s="22"/>
    </row>
    <row r="126" spans="1:16" ht="16" x14ac:dyDescent="0.2">
      <c r="A126" s="22" t="s">
        <v>445</v>
      </c>
      <c r="B126" s="22"/>
      <c r="C126" s="43" t="s">
        <v>164</v>
      </c>
      <c r="D126" s="22" t="s">
        <v>446</v>
      </c>
      <c r="E126" s="22"/>
      <c r="F126" s="22"/>
      <c r="G126" s="22"/>
      <c r="H126" s="50"/>
      <c r="I126" s="22"/>
      <c r="J126" s="22"/>
      <c r="K126" s="22"/>
      <c r="L126" s="22"/>
      <c r="M126" s="22"/>
      <c r="N126" s="22"/>
      <c r="O126" s="22"/>
      <c r="P126" s="22"/>
    </row>
    <row r="127" spans="1:16" ht="16" x14ac:dyDescent="0.2">
      <c r="A127" s="22" t="s">
        <v>445</v>
      </c>
      <c r="B127" s="22"/>
      <c r="C127" s="43" t="s">
        <v>165</v>
      </c>
      <c r="D127" s="22" t="s">
        <v>447</v>
      </c>
      <c r="E127" s="22"/>
      <c r="F127" s="22"/>
      <c r="G127" s="22"/>
      <c r="H127" s="50"/>
      <c r="I127" s="22"/>
      <c r="J127" s="22"/>
      <c r="K127" s="22"/>
      <c r="L127" s="22"/>
      <c r="M127" s="22"/>
      <c r="N127" s="22"/>
      <c r="O127" s="22"/>
      <c r="P127" s="22"/>
    </row>
    <row r="128" spans="1:16" ht="32" x14ac:dyDescent="0.2">
      <c r="A128" s="48" t="s">
        <v>166</v>
      </c>
      <c r="B128" s="48" t="s">
        <v>166</v>
      </c>
      <c r="C128" s="43" t="s">
        <v>167</v>
      </c>
      <c r="D128" s="22" t="s">
        <v>354</v>
      </c>
      <c r="E128" s="22"/>
      <c r="F128" s="22"/>
      <c r="G128" s="22"/>
      <c r="H128" s="50"/>
      <c r="I128" s="22"/>
      <c r="J128" s="22"/>
      <c r="K128" s="22"/>
      <c r="L128" s="22"/>
      <c r="M128" s="22"/>
      <c r="N128" s="22"/>
      <c r="O128" s="22"/>
      <c r="P128" s="22"/>
    </row>
    <row r="129" spans="1:16" ht="16" x14ac:dyDescent="0.2">
      <c r="A129" s="48" t="s">
        <v>166</v>
      </c>
      <c r="B129" s="22"/>
      <c r="C129" s="43" t="s">
        <v>88</v>
      </c>
      <c r="D129" s="22" t="s">
        <v>355</v>
      </c>
      <c r="E129" s="22"/>
      <c r="F129" s="22"/>
      <c r="G129" s="22"/>
      <c r="H129" s="50"/>
      <c r="I129" s="22"/>
      <c r="J129" s="22"/>
      <c r="K129" s="22"/>
      <c r="L129" s="22"/>
      <c r="M129" s="22"/>
      <c r="N129" s="22"/>
      <c r="O129" s="22"/>
      <c r="P129" s="22"/>
    </row>
    <row r="130" spans="1:16" ht="16" x14ac:dyDescent="0.2">
      <c r="A130" s="48" t="s">
        <v>166</v>
      </c>
      <c r="B130" s="22"/>
      <c r="C130" s="43" t="s">
        <v>168</v>
      </c>
      <c r="D130" s="22" t="s">
        <v>356</v>
      </c>
      <c r="E130" s="22"/>
      <c r="F130" s="22"/>
      <c r="G130" s="22"/>
      <c r="H130" s="50"/>
      <c r="I130" s="22"/>
      <c r="J130" s="22"/>
      <c r="K130" s="22"/>
      <c r="L130" s="22"/>
      <c r="M130" s="22"/>
      <c r="N130" s="22"/>
      <c r="O130" s="22"/>
      <c r="P130" s="22"/>
    </row>
    <row r="131" spans="1:16" ht="32" x14ac:dyDescent="0.2">
      <c r="A131" s="48" t="s">
        <v>166</v>
      </c>
      <c r="B131" s="22"/>
      <c r="C131" s="43" t="s">
        <v>169</v>
      </c>
      <c r="D131" s="22" t="s">
        <v>357</v>
      </c>
      <c r="E131" s="22"/>
      <c r="F131" s="22"/>
      <c r="G131" s="22"/>
      <c r="H131" s="50"/>
      <c r="I131" s="22"/>
      <c r="J131" s="22"/>
      <c r="K131" s="22"/>
      <c r="L131" s="22"/>
      <c r="M131" s="22"/>
      <c r="N131" s="22"/>
      <c r="O131" s="22"/>
      <c r="P131" s="22"/>
    </row>
    <row r="132" spans="1:16" ht="16" x14ac:dyDescent="0.2">
      <c r="A132" s="48" t="s">
        <v>166</v>
      </c>
      <c r="B132" s="22"/>
      <c r="C132" s="43" t="s">
        <v>170</v>
      </c>
      <c r="D132" s="22" t="s">
        <v>358</v>
      </c>
      <c r="E132" s="22"/>
      <c r="F132" s="22"/>
      <c r="G132" s="22"/>
      <c r="H132" s="50"/>
      <c r="I132" s="22"/>
      <c r="J132" s="22"/>
      <c r="K132" s="22"/>
      <c r="L132" s="22"/>
      <c r="M132" s="22"/>
      <c r="N132" s="22"/>
      <c r="O132" s="22"/>
      <c r="P132" s="22"/>
    </row>
    <row r="133" spans="1:16" ht="16" x14ac:dyDescent="0.2">
      <c r="A133" s="48" t="s">
        <v>166</v>
      </c>
      <c r="B133" s="22"/>
      <c r="C133" s="43" t="s">
        <v>171</v>
      </c>
      <c r="D133" s="22" t="s">
        <v>359</v>
      </c>
      <c r="E133" s="22"/>
      <c r="F133" s="22"/>
      <c r="G133" s="22"/>
      <c r="H133" s="50"/>
      <c r="I133" s="22"/>
      <c r="J133" s="22"/>
      <c r="K133" s="22"/>
      <c r="L133" s="22"/>
      <c r="M133" s="22"/>
      <c r="N133" s="22"/>
      <c r="O133" s="22"/>
      <c r="P133" s="22"/>
    </row>
    <row r="134" spans="1:16" ht="16" x14ac:dyDescent="0.2">
      <c r="A134" s="48" t="s">
        <v>166</v>
      </c>
      <c r="B134" s="22"/>
      <c r="C134" s="43" t="s">
        <v>172</v>
      </c>
      <c r="D134" s="22" t="s">
        <v>360</v>
      </c>
      <c r="E134" s="22"/>
      <c r="F134" s="22"/>
      <c r="G134" s="22"/>
      <c r="H134" s="50"/>
      <c r="I134" s="22"/>
      <c r="J134" s="22"/>
      <c r="K134" s="22"/>
      <c r="L134" s="22"/>
      <c r="M134" s="22"/>
      <c r="N134" s="22"/>
      <c r="O134" s="22"/>
      <c r="P134" s="22"/>
    </row>
    <row r="135" spans="1:16" ht="16" x14ac:dyDescent="0.2">
      <c r="A135" s="48" t="s">
        <v>166</v>
      </c>
      <c r="B135" s="22"/>
      <c r="C135" s="43" t="s">
        <v>173</v>
      </c>
      <c r="D135" s="22" t="s">
        <v>361</v>
      </c>
      <c r="E135" s="22"/>
      <c r="F135" s="22"/>
      <c r="G135" s="22"/>
      <c r="H135" s="50"/>
      <c r="I135" s="22"/>
      <c r="J135" s="22"/>
      <c r="K135" s="22"/>
      <c r="L135" s="22"/>
      <c r="M135" s="22"/>
      <c r="N135" s="22"/>
      <c r="O135" s="22"/>
      <c r="P135" s="22"/>
    </row>
    <row r="136" spans="1:16" ht="16" x14ac:dyDescent="0.2">
      <c r="A136" s="48" t="s">
        <v>166</v>
      </c>
      <c r="B136" s="22"/>
      <c r="C136" s="43" t="s">
        <v>174</v>
      </c>
      <c r="D136" s="22" t="s">
        <v>362</v>
      </c>
      <c r="E136" s="22"/>
      <c r="F136" s="22"/>
      <c r="G136" s="22"/>
      <c r="H136" s="50"/>
      <c r="I136" s="22"/>
      <c r="J136" s="22"/>
      <c r="K136" s="22"/>
      <c r="L136" s="22"/>
      <c r="M136" s="22"/>
      <c r="N136" s="22"/>
      <c r="O136" s="22"/>
      <c r="P136" s="22"/>
    </row>
    <row r="137" spans="1:16" ht="16" x14ac:dyDescent="0.2">
      <c r="A137" s="48" t="s">
        <v>166</v>
      </c>
      <c r="B137" s="22"/>
      <c r="C137" s="43" t="s">
        <v>175</v>
      </c>
      <c r="D137" s="22" t="s">
        <v>363</v>
      </c>
      <c r="E137" s="22"/>
      <c r="F137" s="22"/>
      <c r="G137" s="22"/>
      <c r="H137" s="50"/>
      <c r="I137" s="22"/>
      <c r="J137" s="22"/>
      <c r="K137" s="22"/>
      <c r="L137" s="22"/>
      <c r="M137" s="22"/>
      <c r="N137" s="22"/>
      <c r="O137" s="22"/>
      <c r="P137" s="22"/>
    </row>
    <row r="138" spans="1:16" ht="16" x14ac:dyDescent="0.2">
      <c r="A138" s="48" t="s">
        <v>166</v>
      </c>
      <c r="B138" s="22"/>
      <c r="C138" s="43" t="s">
        <v>176</v>
      </c>
      <c r="D138" s="22" t="s">
        <v>364</v>
      </c>
      <c r="E138" s="22"/>
      <c r="F138" s="22"/>
      <c r="G138" s="22"/>
      <c r="H138" s="50"/>
      <c r="I138" s="22"/>
      <c r="J138" s="22"/>
      <c r="K138" s="22"/>
      <c r="L138" s="22"/>
      <c r="M138" s="22"/>
      <c r="N138" s="22"/>
      <c r="O138" s="22"/>
      <c r="P138" s="22"/>
    </row>
    <row r="139" spans="1:16" ht="16" x14ac:dyDescent="0.2">
      <c r="A139" s="48" t="s">
        <v>166</v>
      </c>
      <c r="B139" s="22"/>
      <c r="C139" s="43" t="s">
        <v>177</v>
      </c>
      <c r="D139" s="22" t="s">
        <v>365</v>
      </c>
      <c r="E139" s="22"/>
      <c r="F139" s="22"/>
      <c r="G139" s="22"/>
      <c r="H139" s="50"/>
      <c r="I139" s="22"/>
      <c r="J139" s="22"/>
      <c r="K139" s="22"/>
      <c r="L139" s="22"/>
      <c r="M139" s="22"/>
      <c r="N139" s="22"/>
      <c r="O139" s="22"/>
      <c r="P139" s="22"/>
    </row>
    <row r="140" spans="1:16" ht="16" x14ac:dyDescent="0.2">
      <c r="A140" s="52" t="s">
        <v>178</v>
      </c>
      <c r="B140" s="48" t="s">
        <v>179</v>
      </c>
      <c r="C140" s="43" t="s">
        <v>180</v>
      </c>
      <c r="D140" s="22" t="s">
        <v>366</v>
      </c>
      <c r="E140" s="22"/>
      <c r="F140" s="22"/>
      <c r="G140" s="22"/>
      <c r="H140" s="50"/>
      <c r="I140" s="22"/>
      <c r="J140" s="22"/>
      <c r="K140" s="22"/>
      <c r="L140" s="22"/>
      <c r="M140" s="22"/>
      <c r="N140" s="22"/>
      <c r="O140" s="22"/>
      <c r="P140" s="22"/>
    </row>
    <row r="141" spans="1:16" ht="32" x14ac:dyDescent="0.2">
      <c r="A141" s="52" t="s">
        <v>178</v>
      </c>
      <c r="B141" s="22"/>
      <c r="C141" s="43" t="s">
        <v>181</v>
      </c>
      <c r="D141" s="22" t="s">
        <v>367</v>
      </c>
      <c r="E141" s="22"/>
      <c r="F141" s="22"/>
      <c r="G141" s="22"/>
      <c r="H141" s="50"/>
      <c r="I141" s="22"/>
      <c r="J141" s="22"/>
      <c r="K141" s="22"/>
      <c r="L141" s="22"/>
      <c r="M141" s="22"/>
      <c r="N141" s="22"/>
      <c r="O141" s="22"/>
      <c r="P141" s="22"/>
    </row>
    <row r="142" spans="1:16" ht="16" x14ac:dyDescent="0.2">
      <c r="A142" s="52" t="s">
        <v>178</v>
      </c>
      <c r="B142" s="22"/>
      <c r="C142" s="43" t="s">
        <v>182</v>
      </c>
      <c r="D142" s="22" t="s">
        <v>368</v>
      </c>
      <c r="E142" s="22"/>
      <c r="F142" s="22"/>
      <c r="G142" s="22"/>
      <c r="H142" s="50"/>
      <c r="I142" s="22"/>
      <c r="J142" s="22"/>
      <c r="K142" s="22"/>
      <c r="L142" s="22"/>
      <c r="M142" s="22"/>
      <c r="N142" s="22"/>
      <c r="O142" s="22"/>
      <c r="P142" s="22"/>
    </row>
    <row r="143" spans="1:16" ht="16" x14ac:dyDescent="0.2">
      <c r="A143" s="52" t="s">
        <v>178</v>
      </c>
      <c r="B143" s="22"/>
      <c r="C143" s="43" t="s">
        <v>183</v>
      </c>
      <c r="D143" s="22" t="s">
        <v>369</v>
      </c>
      <c r="E143" s="22"/>
      <c r="F143" s="22"/>
      <c r="G143" s="22"/>
      <c r="H143" s="50"/>
      <c r="I143" s="22"/>
      <c r="J143" s="22"/>
      <c r="K143" s="22"/>
      <c r="L143" s="22"/>
      <c r="M143" s="22"/>
      <c r="N143" s="22"/>
      <c r="O143" s="22"/>
      <c r="P143" s="22"/>
    </row>
    <row r="144" spans="1:16" ht="16" x14ac:dyDescent="0.2">
      <c r="A144" s="52" t="s">
        <v>178</v>
      </c>
      <c r="B144" s="22"/>
      <c r="C144" s="43" t="s">
        <v>184</v>
      </c>
      <c r="D144" s="22" t="s">
        <v>370</v>
      </c>
      <c r="E144" s="22"/>
      <c r="F144" s="22"/>
      <c r="G144" s="22"/>
      <c r="H144" s="50"/>
      <c r="I144" s="22"/>
      <c r="J144" s="22"/>
      <c r="K144" s="22"/>
      <c r="L144" s="22"/>
      <c r="M144" s="22"/>
      <c r="N144" s="22"/>
      <c r="O144" s="22"/>
      <c r="P144" s="22"/>
    </row>
    <row r="145" spans="1:16" ht="16" x14ac:dyDescent="0.2">
      <c r="A145" s="52" t="s">
        <v>178</v>
      </c>
      <c r="B145" s="22"/>
      <c r="C145" s="43" t="s">
        <v>185</v>
      </c>
      <c r="D145" s="22" t="s">
        <v>371</v>
      </c>
      <c r="E145" s="22"/>
      <c r="F145" s="22"/>
      <c r="G145" s="22"/>
      <c r="H145" s="50"/>
      <c r="I145" s="22"/>
      <c r="J145" s="22"/>
      <c r="K145" s="22"/>
      <c r="L145" s="22"/>
      <c r="M145" s="22"/>
      <c r="N145" s="22"/>
      <c r="O145" s="22"/>
      <c r="P145" s="22"/>
    </row>
    <row r="146" spans="1:16" ht="16" x14ac:dyDescent="0.2">
      <c r="A146" s="52" t="s">
        <v>178</v>
      </c>
      <c r="B146" s="22"/>
      <c r="C146" s="43" t="s">
        <v>186</v>
      </c>
      <c r="D146" s="22" t="s">
        <v>372</v>
      </c>
      <c r="E146" s="22"/>
      <c r="F146" s="22"/>
      <c r="G146" s="22"/>
      <c r="H146" s="50"/>
      <c r="I146" s="22"/>
      <c r="J146" s="22"/>
      <c r="K146" s="22"/>
      <c r="L146" s="22"/>
      <c r="M146" s="22"/>
      <c r="N146" s="22"/>
      <c r="O146" s="22"/>
      <c r="P146" s="22"/>
    </row>
    <row r="147" spans="1:16" ht="16" x14ac:dyDescent="0.2">
      <c r="A147" s="52" t="s">
        <v>178</v>
      </c>
      <c r="B147" s="22"/>
      <c r="C147" s="43" t="s">
        <v>187</v>
      </c>
      <c r="D147" s="22" t="s">
        <v>373</v>
      </c>
      <c r="E147" s="22"/>
      <c r="F147" s="22"/>
      <c r="G147" s="22"/>
      <c r="H147" s="50"/>
      <c r="I147" s="22"/>
      <c r="J147" s="22"/>
      <c r="K147" s="22"/>
      <c r="L147" s="22"/>
      <c r="M147" s="22"/>
      <c r="N147" s="22"/>
      <c r="O147" s="22"/>
      <c r="P147" s="22"/>
    </row>
    <row r="148" spans="1:16" ht="16" x14ac:dyDescent="0.2">
      <c r="A148" s="52" t="s">
        <v>178</v>
      </c>
      <c r="B148" s="22"/>
      <c r="C148" s="43" t="s">
        <v>188</v>
      </c>
      <c r="D148" s="22" t="s">
        <v>374</v>
      </c>
      <c r="E148" s="22"/>
      <c r="F148" s="22"/>
      <c r="G148" s="22"/>
      <c r="H148" s="50"/>
      <c r="I148" s="22"/>
      <c r="J148" s="22"/>
      <c r="K148" s="22"/>
      <c r="L148" s="22"/>
      <c r="M148" s="22"/>
      <c r="N148" s="22"/>
      <c r="O148" s="22"/>
      <c r="P148" s="22"/>
    </row>
    <row r="149" spans="1:16" ht="16" x14ac:dyDescent="0.2">
      <c r="A149" s="52" t="s">
        <v>178</v>
      </c>
      <c r="B149" s="22"/>
      <c r="C149" s="43" t="s">
        <v>189</v>
      </c>
      <c r="D149" s="22" t="s">
        <v>375</v>
      </c>
      <c r="E149" s="22"/>
      <c r="F149" s="22"/>
      <c r="G149" s="22"/>
      <c r="H149" s="50"/>
      <c r="I149" s="22"/>
      <c r="J149" s="22"/>
      <c r="K149" s="22"/>
      <c r="L149" s="22"/>
      <c r="M149" s="22"/>
      <c r="N149" s="22"/>
      <c r="O149" s="22"/>
      <c r="P149" s="22"/>
    </row>
    <row r="150" spans="1:16" ht="16" x14ac:dyDescent="0.2">
      <c r="A150" s="52" t="s">
        <v>178</v>
      </c>
      <c r="B150" s="22"/>
      <c r="C150" s="43" t="s">
        <v>190</v>
      </c>
      <c r="D150" s="22" t="s">
        <v>376</v>
      </c>
      <c r="E150" s="22"/>
      <c r="F150" s="22"/>
      <c r="G150" s="22"/>
      <c r="H150" s="50"/>
      <c r="I150" s="22"/>
      <c r="J150" s="22"/>
      <c r="K150" s="22"/>
      <c r="L150" s="22"/>
      <c r="M150" s="22"/>
      <c r="N150" s="22"/>
      <c r="O150" s="22"/>
      <c r="P150" s="22"/>
    </row>
    <row r="151" spans="1:16" ht="16" x14ac:dyDescent="0.2">
      <c r="A151" s="52" t="s">
        <v>178</v>
      </c>
      <c r="B151" s="22"/>
      <c r="C151" s="43" t="s">
        <v>191</v>
      </c>
      <c r="D151" s="22" t="s">
        <v>377</v>
      </c>
      <c r="E151" s="22"/>
      <c r="F151" s="22"/>
      <c r="G151" s="22"/>
      <c r="H151" s="50"/>
      <c r="I151" s="22"/>
      <c r="J151" s="22"/>
      <c r="K151" s="22"/>
      <c r="L151" s="22"/>
      <c r="M151" s="22"/>
      <c r="N151" s="22"/>
      <c r="O151" s="22"/>
      <c r="P151" s="22"/>
    </row>
    <row r="152" spans="1:16" ht="32" x14ac:dyDescent="0.2">
      <c r="A152" s="52" t="s">
        <v>178</v>
      </c>
      <c r="B152" s="22"/>
      <c r="C152" s="43" t="s">
        <v>192</v>
      </c>
      <c r="D152" s="22" t="s">
        <v>378</v>
      </c>
      <c r="E152" s="22"/>
      <c r="F152" s="22"/>
      <c r="G152" s="22"/>
      <c r="H152" s="50"/>
      <c r="I152" s="22"/>
      <c r="J152" s="22"/>
      <c r="K152" s="22"/>
      <c r="L152" s="22"/>
      <c r="M152" s="22"/>
      <c r="N152" s="22"/>
      <c r="O152" s="22"/>
      <c r="P152" s="22"/>
    </row>
    <row r="153" spans="1:16" ht="16" x14ac:dyDescent="0.2">
      <c r="A153" s="52" t="s">
        <v>178</v>
      </c>
      <c r="B153" s="22"/>
      <c r="C153" s="43" t="s">
        <v>193</v>
      </c>
      <c r="D153" s="22" t="s">
        <v>379</v>
      </c>
      <c r="E153" s="22"/>
      <c r="F153" s="22"/>
      <c r="G153" s="22"/>
      <c r="H153" s="50"/>
      <c r="I153" s="22"/>
      <c r="J153" s="22"/>
      <c r="K153" s="22"/>
      <c r="L153" s="22"/>
      <c r="M153" s="22"/>
      <c r="N153" s="22"/>
      <c r="O153" s="22"/>
      <c r="P153" s="22"/>
    </row>
    <row r="154" spans="1:16" ht="32" x14ac:dyDescent="0.2">
      <c r="A154" s="52" t="s">
        <v>178</v>
      </c>
      <c r="B154" s="22"/>
      <c r="C154" s="43" t="s">
        <v>194</v>
      </c>
      <c r="D154" s="22" t="s">
        <v>380</v>
      </c>
      <c r="E154" s="22"/>
      <c r="F154" s="22"/>
      <c r="G154" s="22"/>
      <c r="H154" s="50"/>
      <c r="I154" s="22"/>
      <c r="J154" s="22"/>
      <c r="K154" s="22"/>
      <c r="L154" s="22"/>
      <c r="M154" s="22"/>
      <c r="N154" s="22"/>
      <c r="O154" s="22"/>
      <c r="P154" s="22"/>
    </row>
    <row r="155" spans="1:16" ht="16" x14ac:dyDescent="0.2">
      <c r="A155" s="52" t="s">
        <v>178</v>
      </c>
      <c r="B155" s="22"/>
      <c r="C155" s="43" t="s">
        <v>195</v>
      </c>
      <c r="D155" s="22" t="s">
        <v>381</v>
      </c>
      <c r="E155" s="22"/>
      <c r="F155" s="22"/>
      <c r="G155" s="22"/>
      <c r="H155" s="50"/>
      <c r="I155" s="22"/>
      <c r="J155" s="22"/>
      <c r="K155" s="22"/>
      <c r="L155" s="22"/>
      <c r="M155" s="22"/>
      <c r="N155" s="22"/>
      <c r="O155" s="22"/>
      <c r="P155" s="22"/>
    </row>
    <row r="156" spans="1:16" ht="16" x14ac:dyDescent="0.2">
      <c r="A156" s="52" t="s">
        <v>178</v>
      </c>
      <c r="B156" s="22"/>
      <c r="C156" s="43" t="s">
        <v>196</v>
      </c>
      <c r="D156" s="22" t="s">
        <v>382</v>
      </c>
      <c r="E156" s="22"/>
      <c r="F156" s="22"/>
      <c r="G156" s="22"/>
      <c r="H156" s="50"/>
      <c r="I156" s="22"/>
      <c r="J156" s="22"/>
      <c r="K156" s="22"/>
      <c r="L156" s="22"/>
      <c r="M156" s="22"/>
      <c r="N156" s="22"/>
      <c r="O156" s="22"/>
      <c r="P156" s="22"/>
    </row>
    <row r="157" spans="1:16" ht="32" x14ac:dyDescent="0.2">
      <c r="A157" s="52" t="s">
        <v>178</v>
      </c>
      <c r="B157" s="22"/>
      <c r="C157" s="43" t="s">
        <v>197</v>
      </c>
      <c r="D157" s="22" t="s">
        <v>383</v>
      </c>
      <c r="E157" s="22"/>
      <c r="F157" s="22"/>
      <c r="G157" s="22"/>
      <c r="H157" s="50"/>
      <c r="I157" s="22"/>
      <c r="J157" s="22"/>
      <c r="K157" s="22"/>
      <c r="L157" s="22"/>
      <c r="M157" s="22"/>
      <c r="N157" s="22"/>
      <c r="O157" s="22"/>
      <c r="P157" s="22"/>
    </row>
    <row r="158" spans="1:16" ht="16" x14ac:dyDescent="0.2">
      <c r="A158" s="52" t="s">
        <v>178</v>
      </c>
      <c r="B158" s="22"/>
      <c r="C158" s="43" t="s">
        <v>198</v>
      </c>
      <c r="D158" s="22" t="s">
        <v>384</v>
      </c>
      <c r="E158" s="22"/>
      <c r="F158" s="22"/>
      <c r="G158" s="22"/>
      <c r="H158" s="50"/>
      <c r="I158" s="22"/>
      <c r="J158" s="22"/>
      <c r="K158" s="22"/>
      <c r="L158" s="22"/>
      <c r="M158" s="22"/>
      <c r="N158" s="22"/>
      <c r="O158" s="22"/>
      <c r="P158" s="22"/>
    </row>
    <row r="159" spans="1:16" ht="16" x14ac:dyDescent="0.2">
      <c r="A159" s="52" t="s">
        <v>178</v>
      </c>
      <c r="B159" s="22"/>
      <c r="C159" s="43" t="s">
        <v>199</v>
      </c>
      <c r="D159" s="22" t="s">
        <v>385</v>
      </c>
      <c r="E159" s="22"/>
      <c r="F159" s="22"/>
      <c r="G159" s="22"/>
      <c r="H159" s="50"/>
      <c r="I159" s="22"/>
      <c r="J159" s="22"/>
      <c r="K159" s="22"/>
      <c r="L159" s="22"/>
      <c r="M159" s="22"/>
      <c r="N159" s="22"/>
      <c r="O159" s="22"/>
      <c r="P159" s="22"/>
    </row>
    <row r="160" spans="1:16" ht="16" x14ac:dyDescent="0.2">
      <c r="A160" s="52" t="s">
        <v>178</v>
      </c>
      <c r="B160" s="22"/>
      <c r="C160" s="43" t="s">
        <v>200</v>
      </c>
      <c r="D160" s="22" t="s">
        <v>386</v>
      </c>
      <c r="E160" s="22"/>
      <c r="F160" s="22"/>
      <c r="G160" s="22"/>
      <c r="H160" s="50"/>
      <c r="I160" s="22"/>
      <c r="J160" s="22"/>
      <c r="K160" s="22"/>
      <c r="L160" s="22"/>
      <c r="M160" s="22"/>
      <c r="N160" s="22"/>
      <c r="O160" s="22"/>
      <c r="P160" s="22"/>
    </row>
    <row r="161" spans="1:16" ht="32" x14ac:dyDescent="0.2">
      <c r="A161" s="52" t="s">
        <v>178</v>
      </c>
      <c r="B161" s="22"/>
      <c r="C161" s="43" t="s">
        <v>201</v>
      </c>
      <c r="D161" s="22" t="s">
        <v>387</v>
      </c>
      <c r="E161" s="22"/>
      <c r="F161" s="22"/>
      <c r="G161" s="22"/>
      <c r="H161" s="50"/>
      <c r="I161" s="22"/>
      <c r="J161" s="22"/>
      <c r="K161" s="22"/>
      <c r="L161" s="22"/>
      <c r="M161" s="22"/>
      <c r="N161" s="22"/>
      <c r="O161" s="22"/>
      <c r="P161" s="22"/>
    </row>
    <row r="162" spans="1:16" ht="16" x14ac:dyDescent="0.2">
      <c r="A162" s="52" t="s">
        <v>178</v>
      </c>
      <c r="B162" s="22"/>
      <c r="C162" s="43" t="s">
        <v>202</v>
      </c>
      <c r="D162" s="22" t="s">
        <v>388</v>
      </c>
      <c r="E162" s="22"/>
      <c r="F162" s="22"/>
      <c r="G162" s="22"/>
      <c r="H162" s="50"/>
      <c r="I162" s="22"/>
      <c r="J162" s="22"/>
      <c r="K162" s="22"/>
      <c r="L162" s="22"/>
      <c r="M162" s="22"/>
      <c r="N162" s="22"/>
      <c r="O162" s="22"/>
      <c r="P162" s="22"/>
    </row>
    <row r="163" spans="1:16" ht="16" x14ac:dyDescent="0.2">
      <c r="A163" s="52" t="s">
        <v>178</v>
      </c>
      <c r="B163" s="22"/>
      <c r="C163" s="43" t="s">
        <v>203</v>
      </c>
      <c r="D163" s="22" t="s">
        <v>389</v>
      </c>
      <c r="E163" s="22"/>
      <c r="F163" s="22"/>
      <c r="G163" s="22"/>
      <c r="H163" s="50"/>
      <c r="I163" s="22"/>
      <c r="J163" s="22"/>
      <c r="K163" s="22"/>
      <c r="L163" s="22"/>
      <c r="M163" s="22"/>
      <c r="N163" s="22"/>
      <c r="O163" s="22"/>
      <c r="P163" s="22"/>
    </row>
    <row r="164" spans="1:16" ht="16" x14ac:dyDescent="0.2">
      <c r="A164" s="52" t="s">
        <v>178</v>
      </c>
      <c r="B164" s="22"/>
      <c r="C164" s="43" t="s">
        <v>204</v>
      </c>
      <c r="D164" s="22" t="s">
        <v>390</v>
      </c>
      <c r="E164" s="22"/>
      <c r="F164" s="22"/>
      <c r="G164" s="22"/>
      <c r="H164" s="50"/>
      <c r="I164" s="22"/>
      <c r="J164" s="22"/>
      <c r="K164" s="22"/>
      <c r="L164" s="22"/>
      <c r="M164" s="22"/>
      <c r="N164" s="22"/>
      <c r="O164" s="22"/>
      <c r="P164" s="22"/>
    </row>
    <row r="165" spans="1:16" ht="16" x14ac:dyDescent="0.2">
      <c r="A165" s="52" t="s">
        <v>178</v>
      </c>
      <c r="B165" s="22"/>
      <c r="C165" s="43" t="s">
        <v>88</v>
      </c>
      <c r="D165" s="22" t="s">
        <v>391</v>
      </c>
      <c r="E165" s="22"/>
      <c r="F165" s="22"/>
      <c r="G165" s="22"/>
      <c r="H165" s="50"/>
      <c r="I165" s="22"/>
      <c r="J165" s="22"/>
      <c r="K165" s="22"/>
      <c r="L165" s="22"/>
      <c r="M165" s="22"/>
      <c r="N165" s="22"/>
      <c r="O165" s="22"/>
      <c r="P165" s="22"/>
    </row>
    <row r="166" spans="1:16" ht="16" x14ac:dyDescent="0.2">
      <c r="A166" s="52" t="s">
        <v>178</v>
      </c>
      <c r="B166" s="22"/>
      <c r="C166" s="43" t="s">
        <v>205</v>
      </c>
      <c r="D166" s="22" t="s">
        <v>392</v>
      </c>
      <c r="E166" s="22"/>
      <c r="F166" s="22"/>
      <c r="G166" s="22"/>
      <c r="H166" s="50"/>
      <c r="I166" s="22"/>
      <c r="J166" s="22"/>
      <c r="K166" s="22"/>
      <c r="L166" s="22"/>
      <c r="M166" s="22"/>
      <c r="N166" s="22"/>
      <c r="O166" s="22"/>
      <c r="P166" s="22"/>
    </row>
    <row r="167" spans="1:16" ht="16" x14ac:dyDescent="0.2">
      <c r="A167" s="52" t="s">
        <v>178</v>
      </c>
      <c r="B167" s="22"/>
      <c r="C167" s="43" t="s">
        <v>206</v>
      </c>
      <c r="D167" s="22" t="s">
        <v>393</v>
      </c>
      <c r="E167" s="22"/>
      <c r="F167" s="22"/>
      <c r="G167" s="22"/>
      <c r="H167" s="50"/>
      <c r="I167" s="22"/>
      <c r="J167" s="22"/>
      <c r="K167" s="22"/>
      <c r="L167" s="22"/>
      <c r="M167" s="22"/>
      <c r="N167" s="22"/>
      <c r="O167" s="22"/>
      <c r="P167" s="22"/>
    </row>
    <row r="168" spans="1:16" ht="16" x14ac:dyDescent="0.2">
      <c r="A168" s="52" t="s">
        <v>178</v>
      </c>
      <c r="B168" s="22"/>
      <c r="C168" s="43" t="s">
        <v>207</v>
      </c>
      <c r="D168" s="22" t="s">
        <v>394</v>
      </c>
      <c r="E168" s="22"/>
      <c r="F168" s="22"/>
      <c r="G168" s="22"/>
      <c r="H168" s="50"/>
      <c r="I168" s="22"/>
      <c r="J168" s="22"/>
      <c r="K168" s="22"/>
      <c r="L168" s="22"/>
      <c r="M168" s="22"/>
      <c r="N168" s="22"/>
      <c r="O168" s="22"/>
      <c r="P168" s="22"/>
    </row>
    <row r="169" spans="1:16" ht="16" x14ac:dyDescent="0.2">
      <c r="A169" s="52" t="s">
        <v>178</v>
      </c>
      <c r="B169" s="22"/>
      <c r="C169" s="43" t="s">
        <v>208</v>
      </c>
      <c r="D169" s="22" t="s">
        <v>395</v>
      </c>
      <c r="E169" s="22"/>
      <c r="F169" s="22"/>
      <c r="G169" s="22"/>
      <c r="H169" s="50"/>
      <c r="I169" s="22"/>
      <c r="J169" s="22"/>
      <c r="K169" s="22"/>
      <c r="L169" s="22"/>
      <c r="M169" s="22"/>
      <c r="N169" s="22"/>
      <c r="O169" s="22"/>
      <c r="P169" s="22"/>
    </row>
    <row r="170" spans="1:16" ht="16" x14ac:dyDescent="0.2">
      <c r="A170" s="52" t="s">
        <v>178</v>
      </c>
      <c r="B170" s="22"/>
      <c r="C170" s="43" t="s">
        <v>209</v>
      </c>
      <c r="D170" s="22" t="s">
        <v>396</v>
      </c>
      <c r="E170" s="22"/>
      <c r="F170" s="22"/>
      <c r="G170" s="22"/>
      <c r="H170" s="50"/>
      <c r="I170" s="22"/>
      <c r="J170" s="22"/>
      <c r="K170" s="22"/>
      <c r="L170" s="22"/>
      <c r="M170" s="22"/>
      <c r="N170" s="22"/>
      <c r="O170" s="22"/>
      <c r="P170" s="22"/>
    </row>
    <row r="171" spans="1:16" ht="16" x14ac:dyDescent="0.2">
      <c r="A171" s="52" t="s">
        <v>178</v>
      </c>
      <c r="B171" s="22"/>
      <c r="C171" s="43" t="s">
        <v>210</v>
      </c>
      <c r="D171" s="22" t="s">
        <v>397</v>
      </c>
      <c r="E171" s="22"/>
      <c r="F171" s="22"/>
      <c r="G171" s="22"/>
      <c r="H171" s="50"/>
      <c r="I171" s="22"/>
      <c r="J171" s="22"/>
      <c r="K171" s="22"/>
      <c r="L171" s="22"/>
      <c r="M171" s="22"/>
      <c r="N171" s="22"/>
      <c r="O171" s="22"/>
      <c r="P171" s="22"/>
    </row>
    <row r="172" spans="1:16" ht="16" x14ac:dyDescent="0.2">
      <c r="A172" s="52" t="s">
        <v>178</v>
      </c>
      <c r="B172" s="22"/>
      <c r="C172" s="43" t="s">
        <v>211</v>
      </c>
      <c r="D172" s="22" t="s">
        <v>398</v>
      </c>
      <c r="E172" s="22"/>
      <c r="F172" s="22"/>
      <c r="G172" s="22"/>
      <c r="H172" s="50"/>
      <c r="I172" s="22"/>
      <c r="J172" s="22"/>
      <c r="K172" s="22"/>
      <c r="L172" s="22"/>
      <c r="M172" s="22"/>
      <c r="N172" s="22"/>
      <c r="O172" s="22"/>
      <c r="P172" s="22"/>
    </row>
    <row r="173" spans="1:16" ht="16" x14ac:dyDescent="0.2">
      <c r="A173" s="52" t="s">
        <v>178</v>
      </c>
      <c r="B173" s="22"/>
      <c r="C173" s="43" t="s">
        <v>212</v>
      </c>
      <c r="D173" s="22" t="s">
        <v>399</v>
      </c>
      <c r="E173" s="22"/>
      <c r="F173" s="22"/>
      <c r="G173" s="22"/>
      <c r="H173" s="50"/>
      <c r="I173" s="22"/>
      <c r="J173" s="22"/>
      <c r="K173" s="22"/>
      <c r="L173" s="22"/>
      <c r="M173" s="22"/>
      <c r="N173" s="22"/>
      <c r="O173" s="22"/>
      <c r="P173" s="22"/>
    </row>
    <row r="174" spans="1:16" ht="32" x14ac:dyDescent="0.2">
      <c r="A174" s="52" t="s">
        <v>178</v>
      </c>
      <c r="B174" s="22"/>
      <c r="C174" s="43" t="s">
        <v>213</v>
      </c>
      <c r="D174" s="22" t="s">
        <v>400</v>
      </c>
      <c r="E174" s="22"/>
      <c r="F174" s="22"/>
      <c r="G174" s="22"/>
      <c r="H174" s="50"/>
      <c r="I174" s="22"/>
      <c r="J174" s="22"/>
      <c r="K174" s="22"/>
      <c r="L174" s="22"/>
      <c r="M174" s="22"/>
      <c r="N174" s="22"/>
      <c r="O174" s="22"/>
      <c r="P174" s="22"/>
    </row>
    <row r="175" spans="1:16" ht="16" x14ac:dyDescent="0.2">
      <c r="A175" s="52" t="s">
        <v>178</v>
      </c>
      <c r="B175" s="22"/>
      <c r="C175" s="43" t="s">
        <v>214</v>
      </c>
      <c r="D175" s="22" t="s">
        <v>401</v>
      </c>
      <c r="E175" s="22"/>
      <c r="F175" s="22"/>
      <c r="G175" s="22"/>
      <c r="H175" s="50"/>
      <c r="I175" s="22"/>
      <c r="J175" s="22"/>
      <c r="K175" s="22"/>
      <c r="L175" s="22"/>
      <c r="M175" s="22"/>
      <c r="N175" s="22"/>
      <c r="O175" s="22"/>
      <c r="P175" s="22"/>
    </row>
    <row r="176" spans="1:16" ht="16" x14ac:dyDescent="0.2">
      <c r="A176" s="52" t="s">
        <v>178</v>
      </c>
      <c r="B176" s="22"/>
      <c r="C176" s="43" t="s">
        <v>215</v>
      </c>
      <c r="D176" s="22" t="s">
        <v>402</v>
      </c>
      <c r="E176" s="22"/>
      <c r="F176" s="22"/>
      <c r="G176" s="22"/>
      <c r="H176" s="50"/>
      <c r="I176" s="22"/>
      <c r="J176" s="22"/>
      <c r="K176" s="22"/>
      <c r="L176" s="22"/>
      <c r="M176" s="22"/>
      <c r="N176" s="22"/>
      <c r="O176" s="22"/>
      <c r="P176" s="22"/>
    </row>
    <row r="177" spans="1:16" ht="16" x14ac:dyDescent="0.2">
      <c r="A177" s="52" t="s">
        <v>178</v>
      </c>
      <c r="B177" s="22"/>
      <c r="C177" s="43" t="s">
        <v>216</v>
      </c>
      <c r="D177" s="22" t="s">
        <v>403</v>
      </c>
      <c r="E177" s="22"/>
      <c r="F177" s="22"/>
      <c r="G177" s="22"/>
      <c r="H177" s="50"/>
      <c r="I177" s="22"/>
      <c r="J177" s="22"/>
      <c r="K177" s="22"/>
      <c r="L177" s="22"/>
      <c r="M177" s="22"/>
      <c r="N177" s="22"/>
      <c r="O177" s="22"/>
      <c r="P177" s="22"/>
    </row>
    <row r="178" spans="1:16" ht="16" x14ac:dyDescent="0.2">
      <c r="A178" s="52" t="s">
        <v>178</v>
      </c>
      <c r="B178" s="22"/>
      <c r="C178" s="43" t="s">
        <v>217</v>
      </c>
      <c r="D178" s="22" t="s">
        <v>404</v>
      </c>
      <c r="E178" s="22"/>
      <c r="F178" s="22"/>
      <c r="G178" s="22"/>
      <c r="H178" s="50"/>
      <c r="I178" s="22"/>
      <c r="J178" s="22"/>
      <c r="K178" s="22"/>
      <c r="L178" s="22"/>
      <c r="M178" s="22"/>
      <c r="N178" s="22"/>
      <c r="O178" s="22"/>
      <c r="P178" s="22"/>
    </row>
    <row r="179" spans="1:16" ht="16" x14ac:dyDescent="0.2">
      <c r="A179" s="52" t="s">
        <v>178</v>
      </c>
      <c r="B179" s="22"/>
      <c r="C179" s="43" t="s">
        <v>218</v>
      </c>
      <c r="D179" s="22" t="s">
        <v>405</v>
      </c>
      <c r="E179" s="22"/>
      <c r="F179" s="22"/>
      <c r="G179" s="22"/>
      <c r="H179" s="50"/>
      <c r="I179" s="22"/>
      <c r="J179" s="22"/>
      <c r="K179" s="22"/>
      <c r="L179" s="22"/>
      <c r="M179" s="22"/>
      <c r="N179" s="22"/>
      <c r="O179" s="22"/>
      <c r="P179" s="22"/>
    </row>
    <row r="180" spans="1:16" ht="16" x14ac:dyDescent="0.2">
      <c r="A180" s="52" t="s">
        <v>178</v>
      </c>
      <c r="B180" s="22"/>
      <c r="C180" s="43" t="s">
        <v>219</v>
      </c>
      <c r="D180" s="22" t="s">
        <v>406</v>
      </c>
      <c r="E180" s="22"/>
      <c r="F180" s="22"/>
      <c r="G180" s="22"/>
      <c r="H180" s="50"/>
      <c r="I180" s="22"/>
      <c r="J180" s="22"/>
      <c r="K180" s="22"/>
      <c r="L180" s="22"/>
      <c r="M180" s="22"/>
      <c r="N180" s="22"/>
      <c r="O180" s="22"/>
      <c r="P180" s="22"/>
    </row>
    <row r="181" spans="1:16" ht="16" x14ac:dyDescent="0.2">
      <c r="A181" s="52" t="s">
        <v>178</v>
      </c>
      <c r="B181" s="22"/>
      <c r="C181" s="43" t="s">
        <v>220</v>
      </c>
      <c r="D181" s="22" t="s">
        <v>407</v>
      </c>
      <c r="E181" s="22"/>
      <c r="F181" s="22"/>
      <c r="G181" s="22"/>
      <c r="H181" s="50"/>
      <c r="I181" s="22"/>
      <c r="J181" s="22"/>
      <c r="K181" s="22"/>
      <c r="L181" s="22"/>
      <c r="M181" s="22"/>
      <c r="N181" s="22"/>
      <c r="O181" s="22"/>
      <c r="P181" s="22"/>
    </row>
    <row r="182" spans="1:16" ht="16" x14ac:dyDescent="0.2">
      <c r="A182" s="52" t="s">
        <v>178</v>
      </c>
      <c r="B182" s="22"/>
      <c r="C182" s="43" t="s">
        <v>221</v>
      </c>
      <c r="D182" s="22" t="s">
        <v>408</v>
      </c>
      <c r="E182" s="22"/>
      <c r="F182" s="22"/>
      <c r="G182" s="22"/>
      <c r="H182" s="50"/>
      <c r="I182" s="22"/>
      <c r="J182" s="22"/>
      <c r="K182" s="22"/>
      <c r="L182" s="22"/>
      <c r="M182" s="22"/>
      <c r="N182" s="22"/>
      <c r="O182" s="22"/>
      <c r="P182" s="22"/>
    </row>
    <row r="183" spans="1:16" ht="16" x14ac:dyDescent="0.2">
      <c r="A183" s="52" t="s">
        <v>178</v>
      </c>
      <c r="B183" s="22"/>
      <c r="C183" s="43" t="s">
        <v>222</v>
      </c>
      <c r="D183" s="22" t="s">
        <v>409</v>
      </c>
      <c r="E183" s="22"/>
      <c r="F183" s="22"/>
      <c r="G183" s="22"/>
      <c r="H183" s="50"/>
      <c r="I183" s="22"/>
      <c r="J183" s="22"/>
      <c r="K183" s="22"/>
      <c r="L183" s="22"/>
      <c r="M183" s="22"/>
      <c r="N183" s="22"/>
      <c r="O183" s="22"/>
      <c r="P183" s="22"/>
    </row>
    <row r="184" spans="1:16" ht="16" x14ac:dyDescent="0.2">
      <c r="A184" s="52" t="s">
        <v>178</v>
      </c>
      <c r="B184" s="22"/>
      <c r="C184" s="43" t="s">
        <v>223</v>
      </c>
      <c r="D184" s="22" t="s">
        <v>410</v>
      </c>
      <c r="E184" s="22"/>
      <c r="F184" s="22"/>
      <c r="G184" s="22"/>
      <c r="H184" s="50"/>
      <c r="I184" s="22"/>
      <c r="J184" s="22"/>
      <c r="K184" s="22"/>
      <c r="L184" s="22"/>
      <c r="M184" s="22"/>
      <c r="N184" s="22"/>
      <c r="O184" s="22"/>
      <c r="P184" s="22"/>
    </row>
    <row r="185" spans="1:16" ht="16" x14ac:dyDescent="0.2">
      <c r="A185" s="52" t="s">
        <v>178</v>
      </c>
      <c r="B185" s="22"/>
      <c r="C185" s="43" t="s">
        <v>224</v>
      </c>
      <c r="D185" s="22" t="s">
        <v>411</v>
      </c>
      <c r="E185" s="22"/>
      <c r="F185" s="22"/>
      <c r="G185" s="22"/>
      <c r="H185" s="50"/>
      <c r="I185" s="22"/>
      <c r="J185" s="22"/>
      <c r="K185" s="22"/>
      <c r="L185" s="22"/>
      <c r="M185" s="22"/>
      <c r="N185" s="22"/>
      <c r="O185" s="22"/>
      <c r="P185" s="22"/>
    </row>
    <row r="186" spans="1:16" ht="16" x14ac:dyDescent="0.2">
      <c r="A186" s="52" t="s">
        <v>178</v>
      </c>
      <c r="B186" s="22"/>
      <c r="C186" s="43" t="s">
        <v>225</v>
      </c>
      <c r="D186" s="22" t="s">
        <v>412</v>
      </c>
      <c r="E186" s="22"/>
      <c r="F186" s="22"/>
      <c r="G186" s="22"/>
      <c r="H186" s="50"/>
      <c r="I186" s="22"/>
      <c r="J186" s="22"/>
      <c r="K186" s="22"/>
      <c r="L186" s="22"/>
      <c r="M186" s="22"/>
      <c r="N186" s="22"/>
      <c r="O186" s="22"/>
      <c r="P186" s="22"/>
    </row>
    <row r="187" spans="1:16" ht="16" x14ac:dyDescent="0.2">
      <c r="A187" s="52" t="s">
        <v>178</v>
      </c>
      <c r="B187" s="22"/>
      <c r="C187" s="43" t="s">
        <v>226</v>
      </c>
      <c r="D187" s="22" t="s">
        <v>413</v>
      </c>
      <c r="E187" s="22"/>
      <c r="F187" s="22"/>
      <c r="G187" s="22"/>
      <c r="H187" s="50"/>
      <c r="I187" s="22"/>
      <c r="J187" s="22"/>
      <c r="K187" s="22"/>
      <c r="L187" s="22"/>
      <c r="M187" s="22"/>
      <c r="N187" s="22"/>
      <c r="O187" s="22"/>
      <c r="P187" s="22"/>
    </row>
    <row r="188" spans="1:16" ht="32" x14ac:dyDescent="0.2">
      <c r="A188" s="52" t="s">
        <v>178</v>
      </c>
      <c r="B188" s="22"/>
      <c r="C188" s="43" t="s">
        <v>227</v>
      </c>
      <c r="D188" s="22" t="s">
        <v>414</v>
      </c>
      <c r="E188" s="22"/>
      <c r="F188" s="22"/>
      <c r="G188" s="22"/>
      <c r="H188" s="50"/>
      <c r="I188" s="22"/>
      <c r="J188" s="22"/>
      <c r="K188" s="22"/>
      <c r="L188" s="22"/>
      <c r="M188" s="22"/>
      <c r="N188" s="22"/>
      <c r="O188" s="22"/>
      <c r="P188" s="22"/>
    </row>
    <row r="189" spans="1:16" ht="32" x14ac:dyDescent="0.2">
      <c r="A189" s="52" t="s">
        <v>178</v>
      </c>
      <c r="B189" s="22"/>
      <c r="C189" s="43" t="s">
        <v>228</v>
      </c>
      <c r="D189" s="22" t="s">
        <v>415</v>
      </c>
      <c r="E189" s="22"/>
      <c r="F189" s="22"/>
      <c r="G189" s="22"/>
      <c r="H189" s="50"/>
      <c r="I189" s="22"/>
      <c r="J189" s="22"/>
      <c r="K189" s="22"/>
      <c r="L189" s="22"/>
      <c r="M189" s="22"/>
      <c r="N189" s="22"/>
      <c r="O189" s="22"/>
      <c r="P189" s="22"/>
    </row>
    <row r="190" spans="1:16" ht="16" x14ac:dyDescent="0.2">
      <c r="A190" s="48" t="s">
        <v>229</v>
      </c>
      <c r="B190" s="48" t="s">
        <v>448</v>
      </c>
      <c r="C190" s="43" t="s">
        <v>231</v>
      </c>
      <c r="D190" s="22" t="s">
        <v>416</v>
      </c>
      <c r="E190" s="22"/>
      <c r="F190" s="22"/>
      <c r="G190" s="22"/>
      <c r="H190" s="50">
        <v>0</v>
      </c>
      <c r="I190" s="22"/>
      <c r="J190" s="22"/>
      <c r="K190" s="22"/>
      <c r="L190" s="22"/>
      <c r="M190" s="22"/>
      <c r="N190" s="22"/>
      <c r="O190" s="22"/>
      <c r="P190" s="22"/>
    </row>
    <row r="191" spans="1:16" ht="32" x14ac:dyDescent="0.2">
      <c r="A191" s="48" t="s">
        <v>229</v>
      </c>
      <c r="B191" s="48" t="s">
        <v>448</v>
      </c>
      <c r="C191" s="43" t="s">
        <v>232</v>
      </c>
      <c r="D191" s="22" t="s">
        <v>417</v>
      </c>
      <c r="E191" s="22"/>
      <c r="F191" s="22"/>
      <c r="G191" s="22"/>
      <c r="H191" s="50">
        <v>7</v>
      </c>
      <c r="I191" s="22"/>
      <c r="J191" s="22"/>
      <c r="K191" s="22"/>
      <c r="L191" s="22"/>
      <c r="M191" s="22"/>
      <c r="N191" s="22"/>
      <c r="O191" s="22"/>
      <c r="P191" s="22"/>
    </row>
    <row r="192" spans="1:16" ht="16" x14ac:dyDescent="0.2">
      <c r="A192" s="48" t="s">
        <v>229</v>
      </c>
      <c r="B192" s="48" t="s">
        <v>448</v>
      </c>
      <c r="C192" s="43" t="s">
        <v>233</v>
      </c>
      <c r="D192" s="22" t="s">
        <v>418</v>
      </c>
      <c r="E192" s="22"/>
      <c r="F192" s="22"/>
      <c r="G192" s="22"/>
      <c r="H192" s="50">
        <v>15</v>
      </c>
      <c r="I192" s="22"/>
      <c r="J192" s="22"/>
      <c r="K192" s="22"/>
      <c r="L192" s="22"/>
      <c r="M192" s="22"/>
      <c r="N192" s="22"/>
      <c r="O192" s="22"/>
      <c r="P192" s="22"/>
    </row>
    <row r="193" spans="1:16" ht="16" x14ac:dyDescent="0.2">
      <c r="A193" s="48" t="s">
        <v>229</v>
      </c>
      <c r="B193" s="48" t="s">
        <v>448</v>
      </c>
      <c r="C193" s="43" t="s">
        <v>234</v>
      </c>
      <c r="D193" s="22" t="s">
        <v>419</v>
      </c>
      <c r="E193" s="22"/>
      <c r="F193" s="22"/>
      <c r="G193" s="22"/>
      <c r="H193" s="50">
        <v>15</v>
      </c>
      <c r="I193" s="22"/>
      <c r="J193" s="22"/>
      <c r="K193" s="22"/>
      <c r="L193" s="22"/>
      <c r="M193" s="22"/>
      <c r="N193" s="22"/>
      <c r="O193" s="22"/>
      <c r="P193" s="22"/>
    </row>
    <row r="194" spans="1:16" ht="16" x14ac:dyDescent="0.2">
      <c r="A194" s="48" t="s">
        <v>229</v>
      </c>
      <c r="B194" s="48" t="s">
        <v>448</v>
      </c>
      <c r="C194" s="43" t="s">
        <v>235</v>
      </c>
      <c r="D194" s="22" t="s">
        <v>420</v>
      </c>
      <c r="E194" s="22"/>
      <c r="F194" s="22"/>
      <c r="G194" s="22"/>
      <c r="H194" s="50">
        <v>23</v>
      </c>
      <c r="I194" s="22"/>
      <c r="J194" s="22"/>
      <c r="K194" s="22"/>
      <c r="L194" s="22"/>
      <c r="M194" s="22"/>
      <c r="N194" s="22"/>
      <c r="O194" s="22"/>
      <c r="P194" s="22"/>
    </row>
    <row r="195" spans="1:16" ht="16" x14ac:dyDescent="0.2">
      <c r="A195" s="48" t="s">
        <v>229</v>
      </c>
      <c r="B195" s="48" t="s">
        <v>448</v>
      </c>
      <c r="C195" s="43" t="s">
        <v>236</v>
      </c>
      <c r="D195" s="22" t="s">
        <v>421</v>
      </c>
      <c r="E195" s="22"/>
      <c r="F195" s="22"/>
      <c r="G195" s="22"/>
      <c r="H195" s="50"/>
      <c r="I195" s="22"/>
      <c r="J195" s="22"/>
      <c r="K195" s="22"/>
      <c r="L195" s="22"/>
      <c r="M195" s="22"/>
      <c r="N195" s="22"/>
      <c r="O195" s="22"/>
      <c r="P195" s="22"/>
    </row>
    <row r="196" spans="1:16" ht="16" x14ac:dyDescent="0.2">
      <c r="A196" s="48" t="s">
        <v>229</v>
      </c>
      <c r="B196" s="48" t="s">
        <v>237</v>
      </c>
      <c r="C196" s="43" t="s">
        <v>231</v>
      </c>
      <c r="D196" s="22" t="s">
        <v>422</v>
      </c>
      <c r="E196" s="22"/>
      <c r="F196" s="22"/>
      <c r="G196" s="22"/>
      <c r="H196" s="50">
        <v>0</v>
      </c>
      <c r="I196" s="22"/>
      <c r="J196" s="22"/>
      <c r="K196" s="22"/>
      <c r="L196" s="22"/>
      <c r="M196" s="22"/>
      <c r="N196" s="22"/>
      <c r="O196" s="22"/>
      <c r="P196" s="22"/>
    </row>
    <row r="197" spans="1:16" ht="32" x14ac:dyDescent="0.2">
      <c r="A197" s="48" t="s">
        <v>229</v>
      </c>
      <c r="B197" s="48" t="s">
        <v>237</v>
      </c>
      <c r="C197" s="43" t="s">
        <v>232</v>
      </c>
      <c r="D197" s="22" t="s">
        <v>423</v>
      </c>
      <c r="E197" s="22"/>
      <c r="F197" s="22"/>
      <c r="G197" s="22"/>
      <c r="H197" s="50">
        <v>7</v>
      </c>
      <c r="I197" s="22"/>
      <c r="J197" s="22"/>
      <c r="K197" s="22"/>
      <c r="L197" s="22"/>
      <c r="M197" s="22"/>
      <c r="N197" s="22"/>
      <c r="O197" s="22"/>
      <c r="P197" s="22"/>
    </row>
    <row r="198" spans="1:16" ht="16" x14ac:dyDescent="0.2">
      <c r="A198" s="48" t="s">
        <v>229</v>
      </c>
      <c r="B198" s="48" t="s">
        <v>237</v>
      </c>
      <c r="C198" s="43" t="s">
        <v>233</v>
      </c>
      <c r="D198" s="22" t="s">
        <v>424</v>
      </c>
      <c r="E198" s="22"/>
      <c r="F198" s="22"/>
      <c r="G198" s="22"/>
      <c r="H198" s="50">
        <v>15</v>
      </c>
      <c r="I198" s="22"/>
      <c r="J198" s="22"/>
      <c r="K198" s="22"/>
      <c r="L198" s="22"/>
      <c r="M198" s="22"/>
      <c r="N198" s="22"/>
      <c r="O198" s="22"/>
      <c r="P198" s="22"/>
    </row>
    <row r="199" spans="1:16" ht="16" x14ac:dyDescent="0.2">
      <c r="A199" s="48" t="s">
        <v>229</v>
      </c>
      <c r="B199" s="48" t="s">
        <v>237</v>
      </c>
      <c r="C199" s="43" t="s">
        <v>234</v>
      </c>
      <c r="D199" s="22" t="s">
        <v>425</v>
      </c>
      <c r="E199" s="22"/>
      <c r="F199" s="22"/>
      <c r="G199" s="22"/>
      <c r="H199" s="50">
        <v>15</v>
      </c>
      <c r="I199" s="22"/>
      <c r="J199" s="22"/>
      <c r="K199" s="22"/>
      <c r="L199" s="22"/>
      <c r="M199" s="22"/>
      <c r="N199" s="22"/>
      <c r="O199" s="22"/>
      <c r="P199" s="22"/>
    </row>
    <row r="200" spans="1:16" ht="16" x14ac:dyDescent="0.2">
      <c r="A200" s="48" t="s">
        <v>229</v>
      </c>
      <c r="B200" s="48" t="s">
        <v>237</v>
      </c>
      <c r="C200" s="43" t="s">
        <v>238</v>
      </c>
      <c r="D200" s="22" t="s">
        <v>426</v>
      </c>
      <c r="E200" s="22"/>
      <c r="F200" s="22"/>
      <c r="G200" s="22"/>
      <c r="H200" s="50">
        <v>23</v>
      </c>
      <c r="I200" s="22"/>
      <c r="J200" s="22"/>
      <c r="K200" s="22"/>
      <c r="L200" s="22"/>
      <c r="M200" s="22"/>
      <c r="N200" s="22"/>
      <c r="O200" s="22"/>
      <c r="P200" s="22"/>
    </row>
    <row r="201" spans="1:16" ht="16" x14ac:dyDescent="0.2">
      <c r="A201" s="48" t="s">
        <v>449</v>
      </c>
      <c r="B201" s="22" t="str">
        <f>C201</f>
        <v>DGPS Survey of Complete Area</v>
      </c>
      <c r="C201" s="44" t="s">
        <v>88</v>
      </c>
      <c r="D201" s="22" t="s">
        <v>450</v>
      </c>
      <c r="E201" s="22"/>
      <c r="F201" s="22"/>
      <c r="G201" s="22"/>
      <c r="H201" s="50"/>
      <c r="I201" s="22"/>
      <c r="J201" s="22"/>
      <c r="K201" s="22"/>
      <c r="L201" s="22"/>
      <c r="M201" s="22"/>
      <c r="N201" s="22"/>
      <c r="O201" s="22"/>
      <c r="P201" s="22"/>
    </row>
    <row r="202" spans="1:16" ht="16" x14ac:dyDescent="0.2">
      <c r="A202" s="48" t="s">
        <v>449</v>
      </c>
      <c r="B202" s="43" t="s">
        <v>239</v>
      </c>
      <c r="C202" s="43" t="s">
        <v>240</v>
      </c>
      <c r="D202" s="22" t="s">
        <v>451</v>
      </c>
      <c r="E202" s="22"/>
      <c r="F202" s="22"/>
      <c r="G202" s="22"/>
      <c r="H202" s="50"/>
      <c r="I202" s="22"/>
      <c r="J202" s="22"/>
      <c r="K202" s="22"/>
      <c r="L202" s="22"/>
      <c r="M202" s="22"/>
      <c r="N202" s="22"/>
      <c r="O202" s="22"/>
      <c r="P202" s="22"/>
    </row>
    <row r="203" spans="1:16" ht="16" x14ac:dyDescent="0.2">
      <c r="A203" s="48" t="s">
        <v>449</v>
      </c>
      <c r="B203" s="43" t="s">
        <v>241</v>
      </c>
      <c r="C203" s="43" t="s">
        <v>242</v>
      </c>
      <c r="D203" s="22" t="s">
        <v>452</v>
      </c>
      <c r="E203" s="22"/>
      <c r="F203" s="22"/>
      <c r="G203" s="22"/>
      <c r="H203" s="50"/>
      <c r="I203" s="22"/>
      <c r="J203" s="22"/>
      <c r="K203" s="22"/>
      <c r="L203" s="22"/>
      <c r="M203" s="22"/>
      <c r="N203" s="22"/>
      <c r="O203" s="22"/>
      <c r="P203" s="22"/>
    </row>
    <row r="204" spans="1:16" ht="16" x14ac:dyDescent="0.2">
      <c r="A204" s="48" t="s">
        <v>449</v>
      </c>
      <c r="B204" s="43" t="s">
        <v>243</v>
      </c>
      <c r="C204" s="43" t="s">
        <v>244</v>
      </c>
      <c r="D204" s="22" t="s">
        <v>453</v>
      </c>
      <c r="E204" s="22"/>
      <c r="F204" s="22"/>
      <c r="G204" s="22"/>
      <c r="H204" s="50"/>
      <c r="I204" s="22"/>
      <c r="J204" s="22"/>
      <c r="K204" s="22"/>
      <c r="L204" s="22"/>
      <c r="M204" s="22"/>
      <c r="N204" s="22"/>
      <c r="O204" s="22"/>
      <c r="P204" s="22"/>
    </row>
    <row r="205" spans="1:16" ht="16" x14ac:dyDescent="0.2">
      <c r="A205" s="48" t="s">
        <v>449</v>
      </c>
      <c r="B205" s="43" t="str">
        <f>C205</f>
        <v>Notice regarding industrial unit</v>
      </c>
      <c r="C205" s="43" t="s">
        <v>245</v>
      </c>
      <c r="D205" s="22" t="s">
        <v>454</v>
      </c>
      <c r="E205" s="22"/>
      <c r="F205" s="22"/>
      <c r="G205" s="22"/>
      <c r="H205" s="50"/>
      <c r="I205" s="22"/>
      <c r="J205" s="22"/>
      <c r="K205" s="22"/>
      <c r="L205" s="22"/>
      <c r="M205" s="22"/>
      <c r="N205" s="22"/>
      <c r="O205" s="22"/>
      <c r="P205" s="22"/>
    </row>
    <row r="206" spans="1:16" ht="16" x14ac:dyDescent="0.2">
      <c r="A206" s="48" t="s">
        <v>449</v>
      </c>
      <c r="B206" s="48" t="s">
        <v>246</v>
      </c>
      <c r="C206" s="43" t="s">
        <v>247</v>
      </c>
      <c r="D206" s="22" t="s">
        <v>455</v>
      </c>
      <c r="E206" s="22"/>
      <c r="F206" s="22"/>
      <c r="G206" s="22"/>
      <c r="H206" s="50"/>
      <c r="I206" s="22"/>
      <c r="J206" s="22"/>
      <c r="K206" s="22"/>
      <c r="L206" s="22"/>
      <c r="M206" s="22"/>
      <c r="N206" s="22"/>
      <c r="O206" s="22"/>
      <c r="P206" s="22"/>
    </row>
    <row r="207" spans="1:16" ht="16" x14ac:dyDescent="0.2">
      <c r="A207" s="48" t="s">
        <v>449</v>
      </c>
      <c r="B207" s="48" t="s">
        <v>248</v>
      </c>
      <c r="C207" s="43" t="s">
        <v>249</v>
      </c>
      <c r="D207" s="22" t="s">
        <v>456</v>
      </c>
      <c r="E207" s="22"/>
      <c r="F207" s="22"/>
      <c r="G207" s="22"/>
      <c r="H207" s="50"/>
      <c r="I207" s="22"/>
      <c r="J207" s="22"/>
      <c r="K207" s="22"/>
      <c r="L207" s="22"/>
      <c r="M207" s="22"/>
      <c r="N207" s="22"/>
      <c r="O207" s="22"/>
      <c r="P207" s="22"/>
    </row>
    <row r="208" spans="1:16" ht="32" x14ac:dyDescent="0.2">
      <c r="A208" s="48" t="s">
        <v>449</v>
      </c>
      <c r="B208" s="43" t="s">
        <v>252</v>
      </c>
      <c r="C208" s="43" t="s">
        <v>252</v>
      </c>
      <c r="D208" s="22" t="s">
        <v>457</v>
      </c>
      <c r="E208" s="22"/>
      <c r="F208" s="22"/>
      <c r="G208" s="22"/>
      <c r="H208" s="50"/>
      <c r="I208" s="22"/>
      <c r="J208" s="22"/>
      <c r="K208" s="22"/>
      <c r="L208" s="22"/>
      <c r="M208" s="22"/>
      <c r="N208" s="22"/>
      <c r="O208" s="22"/>
      <c r="P208" s="22"/>
    </row>
    <row r="209" spans="1:16" ht="16" x14ac:dyDescent="0.2">
      <c r="A209" s="48" t="s">
        <v>449</v>
      </c>
      <c r="B209" s="43" t="s">
        <v>251</v>
      </c>
      <c r="C209" s="43" t="s">
        <v>251</v>
      </c>
      <c r="D209" s="22" t="s">
        <v>458</v>
      </c>
      <c r="E209" s="22"/>
      <c r="F209" s="22"/>
      <c r="G209" s="22"/>
      <c r="H209" s="50"/>
      <c r="I209" s="22"/>
      <c r="J209" s="22"/>
      <c r="K209" s="22"/>
      <c r="L209" s="22"/>
      <c r="M209" s="22"/>
      <c r="N209" s="22"/>
      <c r="O209" s="22"/>
      <c r="P209" s="22"/>
    </row>
    <row r="210" spans="1:16" x14ac:dyDescent="0.2">
      <c r="A210" s="21"/>
      <c r="B210" s="16"/>
    </row>
  </sheetData>
  <autoFilter ref="A2:P209" xr:uid="{00000000-0001-0000-0000-000000000000}"/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5A61-3D35-4256-85A5-CE13FB10A067}">
  <dimension ref="A2:N207"/>
  <sheetViews>
    <sheetView topLeftCell="A3" workbookViewId="0">
      <selection activeCell="D187" sqref="D187:D197"/>
    </sheetView>
  </sheetViews>
  <sheetFormatPr baseColWidth="10" defaultColWidth="8.83203125" defaultRowHeight="15" x14ac:dyDescent="0.2"/>
  <cols>
    <col min="1" max="1" width="38.5" bestFit="1" customWidth="1"/>
    <col min="2" max="2" width="41.1640625" bestFit="1" customWidth="1"/>
    <col min="3" max="3" width="55.6640625" bestFit="1" customWidth="1"/>
    <col min="5" max="5" width="8.5" bestFit="1" customWidth="1"/>
    <col min="7" max="8" width="9.33203125" bestFit="1" customWidth="1"/>
    <col min="11" max="11" width="8.5" bestFit="1" customWidth="1"/>
    <col min="12" max="12" width="10.1640625" bestFit="1" customWidth="1"/>
  </cols>
  <sheetData>
    <row r="2" spans="1:14" ht="80" x14ac:dyDescent="0.2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4" spans="1:14" x14ac:dyDescent="0.2">
      <c r="A4" t="s">
        <v>14</v>
      </c>
      <c r="B4" t="s">
        <v>15</v>
      </c>
      <c r="C4" t="s">
        <v>16</v>
      </c>
      <c r="D4" t="s">
        <v>17</v>
      </c>
      <c r="L4" t="s">
        <v>18</v>
      </c>
      <c r="M4" t="s">
        <v>19</v>
      </c>
    </row>
    <row r="5" spans="1:14" x14ac:dyDescent="0.2">
      <c r="A5" t="s">
        <v>20</v>
      </c>
      <c r="B5" t="s">
        <v>21</v>
      </c>
    </row>
    <row r="6" spans="1:14" x14ac:dyDescent="0.2">
      <c r="B6" t="s">
        <v>22</v>
      </c>
    </row>
    <row r="7" spans="1:14" x14ac:dyDescent="0.2">
      <c r="B7" t="s">
        <v>23</v>
      </c>
    </row>
    <row r="9" spans="1:14" x14ac:dyDescent="0.2">
      <c r="A9" t="s">
        <v>24</v>
      </c>
      <c r="B9" t="s">
        <v>25</v>
      </c>
      <c r="C9" t="s">
        <v>26</v>
      </c>
      <c r="D9" t="s">
        <v>27</v>
      </c>
      <c r="L9" t="s">
        <v>18</v>
      </c>
      <c r="M9" t="s">
        <v>19</v>
      </c>
    </row>
    <row r="10" spans="1:14" x14ac:dyDescent="0.2">
      <c r="B10" t="s">
        <v>25</v>
      </c>
      <c r="C10" t="s">
        <v>28</v>
      </c>
      <c r="D10" t="s">
        <v>29</v>
      </c>
      <c r="L10" t="s">
        <v>18</v>
      </c>
      <c r="M10" t="s">
        <v>19</v>
      </c>
    </row>
    <row r="11" spans="1:14" x14ac:dyDescent="0.2">
      <c r="B11" t="s">
        <v>25</v>
      </c>
      <c r="C11" t="s">
        <v>30</v>
      </c>
      <c r="D11" t="s">
        <v>31</v>
      </c>
      <c r="E11">
        <v>1</v>
      </c>
      <c r="G11" s="4">
        <v>45121</v>
      </c>
      <c r="H11" s="4">
        <v>45128</v>
      </c>
      <c r="L11" t="s">
        <v>32</v>
      </c>
      <c r="M11" t="s">
        <v>19</v>
      </c>
    </row>
    <row r="12" spans="1:14" x14ac:dyDescent="0.2">
      <c r="B12" t="s">
        <v>33</v>
      </c>
      <c r="C12" t="s">
        <v>34</v>
      </c>
      <c r="D12" t="s">
        <v>35</v>
      </c>
      <c r="G12" s="4">
        <v>45166</v>
      </c>
      <c r="H12" s="4">
        <v>45200</v>
      </c>
      <c r="M12" t="s">
        <v>36</v>
      </c>
    </row>
    <row r="13" spans="1:14" x14ac:dyDescent="0.2">
      <c r="B13" t="s">
        <v>33</v>
      </c>
      <c r="C13" t="s">
        <v>37</v>
      </c>
      <c r="D13" t="s">
        <v>38</v>
      </c>
      <c r="G13" s="4">
        <v>45171</v>
      </c>
      <c r="H13" s="4">
        <v>45203</v>
      </c>
      <c r="M13" t="s">
        <v>36</v>
      </c>
    </row>
    <row r="14" spans="1:14" x14ac:dyDescent="0.2">
      <c r="B14" t="s">
        <v>33</v>
      </c>
      <c r="C14" t="s">
        <v>39</v>
      </c>
      <c r="D14" t="s">
        <v>40</v>
      </c>
      <c r="G14" s="4">
        <v>45173</v>
      </c>
      <c r="H14" s="4">
        <v>45206</v>
      </c>
      <c r="M14" t="s">
        <v>36</v>
      </c>
    </row>
    <row r="15" spans="1:14" x14ac:dyDescent="0.2">
      <c r="B15" t="s">
        <v>33</v>
      </c>
      <c r="C15" t="s">
        <v>41</v>
      </c>
      <c r="D15" t="s">
        <v>42</v>
      </c>
      <c r="G15" s="4">
        <v>45180</v>
      </c>
      <c r="H15" s="4">
        <v>45209</v>
      </c>
      <c r="M15" t="s">
        <v>36</v>
      </c>
    </row>
    <row r="16" spans="1:14" x14ac:dyDescent="0.2">
      <c r="B16" t="s">
        <v>33</v>
      </c>
      <c r="C16" t="s">
        <v>43</v>
      </c>
      <c r="D16" t="s">
        <v>44</v>
      </c>
      <c r="G16" s="4">
        <v>45182</v>
      </c>
      <c r="H16" s="4">
        <v>45214</v>
      </c>
      <c r="M16" t="s">
        <v>36</v>
      </c>
    </row>
    <row r="17" spans="1:13" x14ac:dyDescent="0.2">
      <c r="B17" t="s">
        <v>33</v>
      </c>
      <c r="C17" t="s">
        <v>45</v>
      </c>
      <c r="D17" t="s">
        <v>46</v>
      </c>
      <c r="G17" s="4">
        <v>45187</v>
      </c>
      <c r="H17" s="4">
        <v>45219</v>
      </c>
      <c r="M17" t="s">
        <v>36</v>
      </c>
    </row>
    <row r="18" spans="1:13" x14ac:dyDescent="0.2">
      <c r="B18" t="s">
        <v>47</v>
      </c>
      <c r="C18" t="s">
        <v>48</v>
      </c>
      <c r="D18" t="s">
        <v>49</v>
      </c>
      <c r="E18">
        <v>1</v>
      </c>
      <c r="G18" s="4">
        <v>45189</v>
      </c>
      <c r="H18" s="4">
        <v>45222</v>
      </c>
      <c r="M18" t="s">
        <v>36</v>
      </c>
    </row>
    <row r="19" spans="1:13" x14ac:dyDescent="0.2">
      <c r="B19" t="s">
        <v>47</v>
      </c>
      <c r="C19" t="s">
        <v>50</v>
      </c>
      <c r="D19" t="s">
        <v>51</v>
      </c>
      <c r="G19" s="4">
        <v>45210</v>
      </c>
      <c r="H19" s="4">
        <v>45243</v>
      </c>
      <c r="M19" t="s">
        <v>36</v>
      </c>
    </row>
    <row r="20" spans="1:13" x14ac:dyDescent="0.2">
      <c r="B20" t="s">
        <v>47</v>
      </c>
      <c r="C20" t="s">
        <v>52</v>
      </c>
      <c r="D20" t="s">
        <v>53</v>
      </c>
      <c r="G20" s="4">
        <v>45215</v>
      </c>
      <c r="H20" s="4">
        <v>45250</v>
      </c>
      <c r="M20" t="s">
        <v>36</v>
      </c>
    </row>
    <row r="21" spans="1:13" x14ac:dyDescent="0.2">
      <c r="B21" t="s">
        <v>47</v>
      </c>
      <c r="C21" t="s">
        <v>54</v>
      </c>
      <c r="D21" t="s">
        <v>55</v>
      </c>
      <c r="G21" s="4">
        <v>45220</v>
      </c>
      <c r="H21" s="4">
        <v>45252</v>
      </c>
      <c r="M21" t="s">
        <v>36</v>
      </c>
    </row>
    <row r="22" spans="1:13" x14ac:dyDescent="0.2">
      <c r="B22" t="s">
        <v>56</v>
      </c>
      <c r="C22" t="s">
        <v>56</v>
      </c>
      <c r="D22" t="s">
        <v>57</v>
      </c>
      <c r="E22">
        <v>1</v>
      </c>
      <c r="G22" s="4">
        <v>45250</v>
      </c>
      <c r="H22" s="4">
        <v>45282</v>
      </c>
      <c r="M22" t="s">
        <v>36</v>
      </c>
    </row>
    <row r="24" spans="1:13" ht="16" x14ac:dyDescent="0.2">
      <c r="A24" t="s">
        <v>58</v>
      </c>
      <c r="B24" t="s">
        <v>59</v>
      </c>
      <c r="C24" s="5" t="s">
        <v>60</v>
      </c>
      <c r="D24" t="s">
        <v>253</v>
      </c>
    </row>
    <row r="25" spans="1:13" ht="16" x14ac:dyDescent="0.2">
      <c r="C25" s="5" t="s">
        <v>61</v>
      </c>
      <c r="D25" t="s">
        <v>254</v>
      </c>
    </row>
    <row r="26" spans="1:13" ht="16" x14ac:dyDescent="0.2">
      <c r="C26" s="5" t="s">
        <v>62</v>
      </c>
      <c r="D26" t="s">
        <v>255</v>
      </c>
    </row>
    <row r="27" spans="1:13" ht="16" x14ac:dyDescent="0.2">
      <c r="C27" s="5" t="s">
        <v>63</v>
      </c>
      <c r="D27" t="s">
        <v>256</v>
      </c>
    </row>
    <row r="28" spans="1:13" ht="16" x14ac:dyDescent="0.2">
      <c r="C28" s="5" t="s">
        <v>64</v>
      </c>
      <c r="D28" t="s">
        <v>257</v>
      </c>
    </row>
    <row r="29" spans="1:13" ht="16" x14ac:dyDescent="0.2">
      <c r="C29" s="5" t="s">
        <v>65</v>
      </c>
      <c r="D29" t="s">
        <v>258</v>
      </c>
    </row>
    <row r="30" spans="1:13" ht="16" x14ac:dyDescent="0.2">
      <c r="C30" s="5" t="s">
        <v>66</v>
      </c>
      <c r="D30" t="s">
        <v>259</v>
      </c>
    </row>
    <row r="31" spans="1:13" ht="16" x14ac:dyDescent="0.2">
      <c r="C31" s="5" t="s">
        <v>67</v>
      </c>
      <c r="D31" t="s">
        <v>260</v>
      </c>
    </row>
    <row r="32" spans="1:13" ht="16" x14ac:dyDescent="0.2">
      <c r="C32" s="5" t="s">
        <v>68</v>
      </c>
      <c r="D32" t="s">
        <v>261</v>
      </c>
    </row>
    <row r="33" spans="3:4" ht="16" x14ac:dyDescent="0.2">
      <c r="C33" s="5" t="s">
        <v>69</v>
      </c>
      <c r="D33" t="s">
        <v>262</v>
      </c>
    </row>
    <row r="34" spans="3:4" ht="16" x14ac:dyDescent="0.2">
      <c r="C34" s="5" t="s">
        <v>70</v>
      </c>
      <c r="D34" t="s">
        <v>263</v>
      </c>
    </row>
    <row r="35" spans="3:4" ht="16" x14ac:dyDescent="0.2">
      <c r="C35" s="5" t="s">
        <v>71</v>
      </c>
      <c r="D35" t="s">
        <v>264</v>
      </c>
    </row>
    <row r="36" spans="3:4" ht="16" x14ac:dyDescent="0.2">
      <c r="C36" s="5" t="s">
        <v>72</v>
      </c>
      <c r="D36" t="s">
        <v>265</v>
      </c>
    </row>
    <row r="37" spans="3:4" ht="16" x14ac:dyDescent="0.2">
      <c r="C37" s="5" t="s">
        <v>73</v>
      </c>
      <c r="D37" t="s">
        <v>266</v>
      </c>
    </row>
    <row r="38" spans="3:4" ht="16" x14ac:dyDescent="0.2">
      <c r="C38" s="5" t="s">
        <v>74</v>
      </c>
      <c r="D38" t="s">
        <v>267</v>
      </c>
    </row>
    <row r="39" spans="3:4" ht="16" x14ac:dyDescent="0.2">
      <c r="C39" s="5" t="s">
        <v>75</v>
      </c>
      <c r="D39" t="s">
        <v>268</v>
      </c>
    </row>
    <row r="40" spans="3:4" ht="16" x14ac:dyDescent="0.2">
      <c r="C40" s="5" t="s">
        <v>76</v>
      </c>
      <c r="D40" t="s">
        <v>269</v>
      </c>
    </row>
    <row r="41" spans="3:4" ht="16" x14ac:dyDescent="0.2">
      <c r="C41" s="5" t="s">
        <v>77</v>
      </c>
      <c r="D41" t="s">
        <v>270</v>
      </c>
    </row>
    <row r="42" spans="3:4" ht="16" x14ac:dyDescent="0.2">
      <c r="C42" s="5" t="s">
        <v>78</v>
      </c>
      <c r="D42" t="s">
        <v>271</v>
      </c>
    </row>
    <row r="43" spans="3:4" ht="16" x14ac:dyDescent="0.2">
      <c r="C43" s="5" t="s">
        <v>79</v>
      </c>
      <c r="D43" t="s">
        <v>272</v>
      </c>
    </row>
    <row r="44" spans="3:4" ht="16" x14ac:dyDescent="0.2">
      <c r="C44" s="5" t="s">
        <v>80</v>
      </c>
      <c r="D44" t="s">
        <v>273</v>
      </c>
    </row>
    <row r="45" spans="3:4" ht="16" x14ac:dyDescent="0.2">
      <c r="C45" s="5" t="s">
        <v>81</v>
      </c>
      <c r="D45" t="s">
        <v>274</v>
      </c>
    </row>
    <row r="46" spans="3:4" ht="16" x14ac:dyDescent="0.2">
      <c r="C46" s="5" t="s">
        <v>82</v>
      </c>
      <c r="D46" t="s">
        <v>275</v>
      </c>
    </row>
    <row r="47" spans="3:4" ht="16" x14ac:dyDescent="0.2">
      <c r="C47" s="6" t="s">
        <v>83</v>
      </c>
      <c r="D47" t="s">
        <v>276</v>
      </c>
    </row>
    <row r="48" spans="3:4" ht="16" x14ac:dyDescent="0.2">
      <c r="C48" s="7" t="s">
        <v>84</v>
      </c>
      <c r="D48" t="s">
        <v>277</v>
      </c>
    </row>
    <row r="49" spans="2:4" ht="16" x14ac:dyDescent="0.2">
      <c r="C49" s="5" t="s">
        <v>85</v>
      </c>
      <c r="D49" t="s">
        <v>278</v>
      </c>
    </row>
    <row r="50" spans="2:4" ht="16" x14ac:dyDescent="0.2">
      <c r="C50" s="5" t="s">
        <v>86</v>
      </c>
      <c r="D50" t="s">
        <v>279</v>
      </c>
    </row>
    <row r="51" spans="2:4" ht="16" x14ac:dyDescent="0.2">
      <c r="C51" s="5" t="s">
        <v>87</v>
      </c>
      <c r="D51" t="s">
        <v>280</v>
      </c>
    </row>
    <row r="52" spans="2:4" ht="16" x14ac:dyDescent="0.2">
      <c r="C52" s="5" t="s">
        <v>88</v>
      </c>
      <c r="D52" t="s">
        <v>281</v>
      </c>
    </row>
    <row r="53" spans="2:4" ht="16" x14ac:dyDescent="0.2">
      <c r="C53" s="8" t="s">
        <v>89</v>
      </c>
      <c r="D53" t="s">
        <v>282</v>
      </c>
    </row>
    <row r="54" spans="2:4" ht="16" x14ac:dyDescent="0.2">
      <c r="B54" s="9" t="s">
        <v>90</v>
      </c>
      <c r="C54" s="5" t="s">
        <v>91</v>
      </c>
      <c r="D54" t="s">
        <v>283</v>
      </c>
    </row>
    <row r="55" spans="2:4" ht="16" x14ac:dyDescent="0.2">
      <c r="C55" s="5" t="s">
        <v>92</v>
      </c>
      <c r="D55" t="s">
        <v>284</v>
      </c>
    </row>
    <row r="56" spans="2:4" ht="32" x14ac:dyDescent="0.2">
      <c r="C56" s="5" t="s">
        <v>93</v>
      </c>
      <c r="D56" t="s">
        <v>285</v>
      </c>
    </row>
    <row r="57" spans="2:4" ht="32" x14ac:dyDescent="0.2">
      <c r="C57" s="5" t="s">
        <v>94</v>
      </c>
      <c r="D57" t="s">
        <v>286</v>
      </c>
    </row>
    <row r="58" spans="2:4" ht="32" x14ac:dyDescent="0.2">
      <c r="C58" s="5" t="s">
        <v>95</v>
      </c>
      <c r="D58" t="s">
        <v>287</v>
      </c>
    </row>
    <row r="59" spans="2:4" ht="16" x14ac:dyDescent="0.2">
      <c r="C59" s="5" t="s">
        <v>96</v>
      </c>
      <c r="D59" t="s">
        <v>288</v>
      </c>
    </row>
    <row r="60" spans="2:4" ht="32" x14ac:dyDescent="0.2">
      <c r="C60" s="5" t="s">
        <v>97</v>
      </c>
      <c r="D60" t="s">
        <v>289</v>
      </c>
    </row>
    <row r="61" spans="2:4" ht="16" x14ac:dyDescent="0.2">
      <c r="C61" s="5" t="s">
        <v>98</v>
      </c>
      <c r="D61" t="s">
        <v>290</v>
      </c>
    </row>
    <row r="62" spans="2:4" ht="16" x14ac:dyDescent="0.2">
      <c r="C62" s="5" t="s">
        <v>99</v>
      </c>
      <c r="D62" t="s">
        <v>291</v>
      </c>
    </row>
    <row r="63" spans="2:4" ht="16" x14ac:dyDescent="0.2">
      <c r="B63" s="10" t="s">
        <v>100</v>
      </c>
      <c r="C63" s="5" t="s">
        <v>101</v>
      </c>
      <c r="D63" t="s">
        <v>292</v>
      </c>
    </row>
    <row r="64" spans="2:4" ht="16" x14ac:dyDescent="0.2">
      <c r="C64" s="5" t="s">
        <v>102</v>
      </c>
      <c r="D64" t="s">
        <v>293</v>
      </c>
    </row>
    <row r="65" spans="2:4" ht="16" x14ac:dyDescent="0.2">
      <c r="C65" s="5" t="s">
        <v>103</v>
      </c>
      <c r="D65" t="s">
        <v>294</v>
      </c>
    </row>
    <row r="66" spans="2:4" ht="16" x14ac:dyDescent="0.2">
      <c r="C66" s="5" t="s">
        <v>104</v>
      </c>
      <c r="D66" t="s">
        <v>295</v>
      </c>
    </row>
    <row r="67" spans="2:4" ht="16" x14ac:dyDescent="0.2">
      <c r="C67" s="5" t="s">
        <v>105</v>
      </c>
      <c r="D67" t="s">
        <v>296</v>
      </c>
    </row>
    <row r="68" spans="2:4" ht="16" x14ac:dyDescent="0.2">
      <c r="C68" s="5" t="s">
        <v>106</v>
      </c>
      <c r="D68" t="s">
        <v>297</v>
      </c>
    </row>
    <row r="69" spans="2:4" ht="16" x14ac:dyDescent="0.2">
      <c r="C69" s="5" t="s">
        <v>107</v>
      </c>
      <c r="D69" t="s">
        <v>298</v>
      </c>
    </row>
    <row r="70" spans="2:4" ht="16" x14ac:dyDescent="0.2">
      <c r="C70" s="5" t="s">
        <v>108</v>
      </c>
      <c r="D70" t="s">
        <v>299</v>
      </c>
    </row>
    <row r="71" spans="2:4" ht="16" x14ac:dyDescent="0.2">
      <c r="C71" s="5" t="s">
        <v>109</v>
      </c>
      <c r="D71" t="s">
        <v>300</v>
      </c>
    </row>
    <row r="72" spans="2:4" ht="16" x14ac:dyDescent="0.2">
      <c r="C72" s="5" t="s">
        <v>110</v>
      </c>
      <c r="D72" t="s">
        <v>301</v>
      </c>
    </row>
    <row r="73" spans="2:4" ht="16" x14ac:dyDescent="0.2">
      <c r="C73" s="5" t="s">
        <v>111</v>
      </c>
      <c r="D73" t="s">
        <v>302</v>
      </c>
    </row>
    <row r="74" spans="2:4" ht="16" x14ac:dyDescent="0.2">
      <c r="C74" s="5" t="s">
        <v>112</v>
      </c>
      <c r="D74" t="s">
        <v>303</v>
      </c>
    </row>
    <row r="75" spans="2:4" ht="16" x14ac:dyDescent="0.2">
      <c r="C75" s="5" t="s">
        <v>113</v>
      </c>
      <c r="D75" t="s">
        <v>304</v>
      </c>
    </row>
    <row r="76" spans="2:4" ht="16" x14ac:dyDescent="0.2">
      <c r="B76" s="10" t="s">
        <v>114</v>
      </c>
      <c r="C76" s="5" t="s">
        <v>115</v>
      </c>
      <c r="D76" t="s">
        <v>305</v>
      </c>
    </row>
    <row r="77" spans="2:4" ht="16" x14ac:dyDescent="0.2">
      <c r="C77" s="5" t="s">
        <v>116</v>
      </c>
      <c r="D77" t="s">
        <v>306</v>
      </c>
    </row>
    <row r="78" spans="2:4" ht="16" x14ac:dyDescent="0.2">
      <c r="C78" s="5" t="s">
        <v>117</v>
      </c>
      <c r="D78" t="s">
        <v>307</v>
      </c>
    </row>
    <row r="79" spans="2:4" ht="16" x14ac:dyDescent="0.2">
      <c r="C79" s="5" t="s">
        <v>118</v>
      </c>
      <c r="D79" t="s">
        <v>308</v>
      </c>
    </row>
    <row r="80" spans="2:4" ht="16" x14ac:dyDescent="0.2">
      <c r="C80" s="5" t="s">
        <v>119</v>
      </c>
      <c r="D80" t="s">
        <v>309</v>
      </c>
    </row>
    <row r="81" spans="2:4" ht="16" x14ac:dyDescent="0.2">
      <c r="C81" s="5" t="s">
        <v>120</v>
      </c>
      <c r="D81" t="s">
        <v>310</v>
      </c>
    </row>
    <row r="82" spans="2:4" ht="16" x14ac:dyDescent="0.2">
      <c r="C82" s="5" t="s">
        <v>121</v>
      </c>
      <c r="D82" t="s">
        <v>311</v>
      </c>
    </row>
    <row r="83" spans="2:4" ht="16" x14ac:dyDescent="0.2">
      <c r="C83" s="6" t="s">
        <v>122</v>
      </c>
      <c r="D83" t="s">
        <v>312</v>
      </c>
    </row>
    <row r="84" spans="2:4" ht="16" x14ac:dyDescent="0.2">
      <c r="C84" s="7" t="s">
        <v>123</v>
      </c>
      <c r="D84" t="s">
        <v>313</v>
      </c>
    </row>
    <row r="85" spans="2:4" ht="16" x14ac:dyDescent="0.2">
      <c r="C85" s="5" t="s">
        <v>124</v>
      </c>
      <c r="D85" t="s">
        <v>314</v>
      </c>
    </row>
    <row r="86" spans="2:4" ht="16" x14ac:dyDescent="0.2">
      <c r="B86" s="10" t="s">
        <v>125</v>
      </c>
      <c r="C86" s="11" t="s">
        <v>126</v>
      </c>
      <c r="D86" t="s">
        <v>315</v>
      </c>
    </row>
    <row r="87" spans="2:4" ht="16" x14ac:dyDescent="0.2">
      <c r="C87" s="11" t="s">
        <v>88</v>
      </c>
      <c r="D87" t="s">
        <v>316</v>
      </c>
    </row>
    <row r="88" spans="2:4" ht="16" x14ac:dyDescent="0.2">
      <c r="C88" s="11" t="s">
        <v>127</v>
      </c>
      <c r="D88" t="s">
        <v>317</v>
      </c>
    </row>
    <row r="89" spans="2:4" ht="16" x14ac:dyDescent="0.2">
      <c r="C89" s="11" t="s">
        <v>128</v>
      </c>
      <c r="D89" t="s">
        <v>318</v>
      </c>
    </row>
    <row r="90" spans="2:4" ht="32" x14ac:dyDescent="0.2">
      <c r="B90" s="10" t="s">
        <v>129</v>
      </c>
      <c r="C90" s="5" t="s">
        <v>130</v>
      </c>
      <c r="D90" t="s">
        <v>319</v>
      </c>
    </row>
    <row r="91" spans="2:4" ht="16" x14ac:dyDescent="0.2">
      <c r="C91" s="5" t="s">
        <v>131</v>
      </c>
      <c r="D91" t="s">
        <v>320</v>
      </c>
    </row>
    <row r="92" spans="2:4" ht="16" x14ac:dyDescent="0.2">
      <c r="C92" s="5" t="s">
        <v>132</v>
      </c>
      <c r="D92" t="s">
        <v>321</v>
      </c>
    </row>
    <row r="93" spans="2:4" ht="16" x14ac:dyDescent="0.2">
      <c r="C93" s="5" t="s">
        <v>133</v>
      </c>
      <c r="D93" t="s">
        <v>322</v>
      </c>
    </row>
    <row r="94" spans="2:4" ht="16" x14ac:dyDescent="0.2">
      <c r="C94" s="5" t="s">
        <v>134</v>
      </c>
      <c r="D94" t="s">
        <v>323</v>
      </c>
    </row>
    <row r="95" spans="2:4" ht="16" x14ac:dyDescent="0.2">
      <c r="C95" s="5" t="s">
        <v>135</v>
      </c>
      <c r="D95" t="s">
        <v>324</v>
      </c>
    </row>
    <row r="96" spans="2:4" ht="16" x14ac:dyDescent="0.2">
      <c r="C96" s="5" t="s">
        <v>136</v>
      </c>
      <c r="D96" t="s">
        <v>325</v>
      </c>
    </row>
    <row r="97" spans="2:4" ht="16" x14ac:dyDescent="0.2">
      <c r="C97" s="5" t="s">
        <v>137</v>
      </c>
      <c r="D97" t="s">
        <v>326</v>
      </c>
    </row>
    <row r="98" spans="2:4" ht="16" x14ac:dyDescent="0.2">
      <c r="C98" s="5" t="s">
        <v>138</v>
      </c>
      <c r="D98" t="s">
        <v>327</v>
      </c>
    </row>
    <row r="99" spans="2:4" ht="16" x14ac:dyDescent="0.2">
      <c r="C99" s="5" t="s">
        <v>139</v>
      </c>
      <c r="D99" t="s">
        <v>328</v>
      </c>
    </row>
    <row r="100" spans="2:4" ht="16" x14ac:dyDescent="0.2">
      <c r="C100" s="5" t="s">
        <v>140</v>
      </c>
      <c r="D100" t="s">
        <v>329</v>
      </c>
    </row>
    <row r="101" spans="2:4" ht="16" x14ac:dyDescent="0.2">
      <c r="C101" s="5" t="s">
        <v>141</v>
      </c>
      <c r="D101" t="s">
        <v>330</v>
      </c>
    </row>
    <row r="102" spans="2:4" ht="16" x14ac:dyDescent="0.2">
      <c r="C102" s="5" t="s">
        <v>142</v>
      </c>
      <c r="D102" t="s">
        <v>331</v>
      </c>
    </row>
    <row r="103" spans="2:4" ht="16" x14ac:dyDescent="0.2">
      <c r="C103" s="5" t="s">
        <v>143</v>
      </c>
      <c r="D103" t="s">
        <v>332</v>
      </c>
    </row>
    <row r="104" spans="2:4" ht="16" x14ac:dyDescent="0.2">
      <c r="C104" s="5" t="s">
        <v>144</v>
      </c>
      <c r="D104" t="s">
        <v>333</v>
      </c>
    </row>
    <row r="105" spans="2:4" ht="16" x14ac:dyDescent="0.2">
      <c r="C105" s="5" t="s">
        <v>145</v>
      </c>
      <c r="D105" t="s">
        <v>334</v>
      </c>
    </row>
    <row r="106" spans="2:4" ht="16" x14ac:dyDescent="0.2">
      <c r="C106" s="5" t="s">
        <v>146</v>
      </c>
      <c r="D106" t="s">
        <v>335</v>
      </c>
    </row>
    <row r="107" spans="2:4" ht="32" x14ac:dyDescent="0.2">
      <c r="C107" s="5" t="s">
        <v>147</v>
      </c>
      <c r="D107" t="s">
        <v>336</v>
      </c>
    </row>
    <row r="108" spans="2:4" ht="16" x14ac:dyDescent="0.2">
      <c r="C108" s="5" t="s">
        <v>148</v>
      </c>
      <c r="D108" t="s">
        <v>337</v>
      </c>
    </row>
    <row r="109" spans="2:4" ht="16" x14ac:dyDescent="0.2">
      <c r="B109" s="10" t="s">
        <v>149</v>
      </c>
      <c r="C109" s="11" t="s">
        <v>150</v>
      </c>
      <c r="D109" t="s">
        <v>338</v>
      </c>
    </row>
    <row r="110" spans="2:4" ht="16" x14ac:dyDescent="0.2">
      <c r="C110" s="11" t="s">
        <v>151</v>
      </c>
      <c r="D110" t="s">
        <v>339</v>
      </c>
    </row>
    <row r="111" spans="2:4" ht="16" x14ac:dyDescent="0.2">
      <c r="C111" s="11" t="s">
        <v>152</v>
      </c>
      <c r="D111" t="s">
        <v>340</v>
      </c>
    </row>
    <row r="112" spans="2:4" ht="16" x14ac:dyDescent="0.2">
      <c r="C112" s="11" t="s">
        <v>153</v>
      </c>
      <c r="D112" t="s">
        <v>341</v>
      </c>
    </row>
    <row r="113" spans="1:4" ht="16" x14ac:dyDescent="0.2">
      <c r="C113" s="11" t="s">
        <v>154</v>
      </c>
      <c r="D113" t="s">
        <v>342</v>
      </c>
    </row>
    <row r="114" spans="1:4" ht="16" x14ac:dyDescent="0.2">
      <c r="C114" s="11" t="s">
        <v>155</v>
      </c>
      <c r="D114" t="s">
        <v>343</v>
      </c>
    </row>
    <row r="115" spans="1:4" ht="16" x14ac:dyDescent="0.2">
      <c r="C115" s="11" t="s">
        <v>156</v>
      </c>
      <c r="D115" t="s">
        <v>344</v>
      </c>
    </row>
    <row r="116" spans="1:4" ht="16" x14ac:dyDescent="0.2">
      <c r="C116" s="11" t="s">
        <v>157</v>
      </c>
      <c r="D116" t="s">
        <v>345</v>
      </c>
    </row>
    <row r="117" spans="1:4" ht="16" x14ac:dyDescent="0.2">
      <c r="C117" s="11" t="s">
        <v>158</v>
      </c>
      <c r="D117" t="s">
        <v>346</v>
      </c>
    </row>
    <row r="118" spans="1:4" ht="16" x14ac:dyDescent="0.2">
      <c r="C118" s="11" t="s">
        <v>159</v>
      </c>
      <c r="D118" t="s">
        <v>347</v>
      </c>
    </row>
    <row r="119" spans="1:4" ht="16" x14ac:dyDescent="0.2">
      <c r="C119" s="11" t="s">
        <v>160</v>
      </c>
      <c r="D119" t="s">
        <v>348</v>
      </c>
    </row>
    <row r="120" spans="1:4" ht="16" x14ac:dyDescent="0.2">
      <c r="C120" s="11" t="s">
        <v>161</v>
      </c>
      <c r="D120" t="s">
        <v>349</v>
      </c>
    </row>
    <row r="121" spans="1:4" ht="16" x14ac:dyDescent="0.2">
      <c r="C121" s="11" t="s">
        <v>162</v>
      </c>
      <c r="D121" t="s">
        <v>350</v>
      </c>
    </row>
    <row r="122" spans="1:4" ht="16" x14ac:dyDescent="0.2">
      <c r="C122" s="12" t="s">
        <v>163</v>
      </c>
      <c r="D122" t="s">
        <v>351</v>
      </c>
    </row>
    <row r="123" spans="1:4" ht="16" x14ac:dyDescent="0.2">
      <c r="C123" s="7" t="s">
        <v>164</v>
      </c>
      <c r="D123" t="s">
        <v>352</v>
      </c>
    </row>
    <row r="124" spans="1:4" ht="16" x14ac:dyDescent="0.2">
      <c r="C124" s="5" t="s">
        <v>165</v>
      </c>
      <c r="D124" t="s">
        <v>353</v>
      </c>
    </row>
    <row r="125" spans="1:4" ht="32" x14ac:dyDescent="0.2">
      <c r="A125" s="13" t="s">
        <v>166</v>
      </c>
      <c r="B125" s="13" t="s">
        <v>166</v>
      </c>
      <c r="C125" s="5" t="s">
        <v>167</v>
      </c>
      <c r="D125" t="s">
        <v>354</v>
      </c>
    </row>
    <row r="126" spans="1:4" ht="16" x14ac:dyDescent="0.2">
      <c r="C126" s="5" t="s">
        <v>88</v>
      </c>
      <c r="D126" t="s">
        <v>355</v>
      </c>
    </row>
    <row r="127" spans="1:4" ht="16" x14ac:dyDescent="0.2">
      <c r="C127" s="5" t="s">
        <v>168</v>
      </c>
      <c r="D127" t="s">
        <v>356</v>
      </c>
    </row>
    <row r="128" spans="1:4" ht="32" x14ac:dyDescent="0.2">
      <c r="C128" s="5" t="s">
        <v>169</v>
      </c>
      <c r="D128" t="s">
        <v>357</v>
      </c>
    </row>
    <row r="129" spans="1:4" ht="16" x14ac:dyDescent="0.2">
      <c r="C129" s="5" t="s">
        <v>170</v>
      </c>
      <c r="D129" t="s">
        <v>358</v>
      </c>
    </row>
    <row r="130" spans="1:4" ht="16" x14ac:dyDescent="0.2">
      <c r="C130" s="5" t="s">
        <v>171</v>
      </c>
      <c r="D130" t="s">
        <v>359</v>
      </c>
    </row>
    <row r="131" spans="1:4" ht="16" x14ac:dyDescent="0.2">
      <c r="C131" s="5" t="s">
        <v>172</v>
      </c>
      <c r="D131" t="s">
        <v>360</v>
      </c>
    </row>
    <row r="132" spans="1:4" ht="16" x14ac:dyDescent="0.2">
      <c r="C132" s="5" t="s">
        <v>173</v>
      </c>
      <c r="D132" t="s">
        <v>361</v>
      </c>
    </row>
    <row r="133" spans="1:4" ht="16" x14ac:dyDescent="0.2">
      <c r="C133" s="5" t="s">
        <v>174</v>
      </c>
      <c r="D133" t="s">
        <v>362</v>
      </c>
    </row>
    <row r="134" spans="1:4" ht="16" x14ac:dyDescent="0.2">
      <c r="C134" s="5" t="s">
        <v>175</v>
      </c>
      <c r="D134" t="s">
        <v>363</v>
      </c>
    </row>
    <row r="135" spans="1:4" ht="16" x14ac:dyDescent="0.2">
      <c r="C135" s="5" t="s">
        <v>176</v>
      </c>
      <c r="D135" t="s">
        <v>364</v>
      </c>
    </row>
    <row r="136" spans="1:4" ht="16" x14ac:dyDescent="0.2">
      <c r="C136" s="5" t="s">
        <v>177</v>
      </c>
      <c r="D136" t="s">
        <v>365</v>
      </c>
    </row>
    <row r="137" spans="1:4" ht="16" x14ac:dyDescent="0.2">
      <c r="A137" s="13" t="s">
        <v>178</v>
      </c>
      <c r="B137" s="13" t="s">
        <v>179</v>
      </c>
      <c r="C137" s="5" t="s">
        <v>180</v>
      </c>
      <c r="D137" t="s">
        <v>366</v>
      </c>
    </row>
    <row r="138" spans="1:4" ht="32" x14ac:dyDescent="0.2">
      <c r="C138" s="5" t="s">
        <v>181</v>
      </c>
      <c r="D138" t="s">
        <v>367</v>
      </c>
    </row>
    <row r="139" spans="1:4" ht="16" x14ac:dyDescent="0.2">
      <c r="C139" s="5" t="s">
        <v>182</v>
      </c>
      <c r="D139" t="s">
        <v>368</v>
      </c>
    </row>
    <row r="140" spans="1:4" ht="16" x14ac:dyDescent="0.2">
      <c r="C140" s="5" t="s">
        <v>183</v>
      </c>
      <c r="D140" t="s">
        <v>369</v>
      </c>
    </row>
    <row r="141" spans="1:4" ht="16" x14ac:dyDescent="0.2">
      <c r="C141" s="5" t="s">
        <v>184</v>
      </c>
      <c r="D141" t="s">
        <v>370</v>
      </c>
    </row>
    <row r="142" spans="1:4" ht="16" x14ac:dyDescent="0.2">
      <c r="C142" s="5" t="s">
        <v>185</v>
      </c>
      <c r="D142" t="s">
        <v>371</v>
      </c>
    </row>
    <row r="143" spans="1:4" ht="16" x14ac:dyDescent="0.2">
      <c r="C143" s="5" t="s">
        <v>186</v>
      </c>
      <c r="D143" t="s">
        <v>372</v>
      </c>
    </row>
    <row r="144" spans="1:4" ht="16" x14ac:dyDescent="0.2">
      <c r="C144" s="5" t="s">
        <v>187</v>
      </c>
      <c r="D144" t="s">
        <v>373</v>
      </c>
    </row>
    <row r="145" spans="3:4" ht="16" x14ac:dyDescent="0.2">
      <c r="C145" s="5" t="s">
        <v>188</v>
      </c>
      <c r="D145" t="s">
        <v>374</v>
      </c>
    </row>
    <row r="146" spans="3:4" ht="16" x14ac:dyDescent="0.2">
      <c r="C146" s="5" t="s">
        <v>189</v>
      </c>
      <c r="D146" t="s">
        <v>375</v>
      </c>
    </row>
    <row r="147" spans="3:4" ht="16" x14ac:dyDescent="0.2">
      <c r="C147" s="5" t="s">
        <v>190</v>
      </c>
      <c r="D147" t="s">
        <v>376</v>
      </c>
    </row>
    <row r="148" spans="3:4" ht="16" x14ac:dyDescent="0.2">
      <c r="C148" s="5" t="s">
        <v>191</v>
      </c>
      <c r="D148" t="s">
        <v>377</v>
      </c>
    </row>
    <row r="149" spans="3:4" ht="32" x14ac:dyDescent="0.2">
      <c r="C149" s="5" t="s">
        <v>192</v>
      </c>
      <c r="D149" t="s">
        <v>378</v>
      </c>
    </row>
    <row r="150" spans="3:4" ht="16" x14ac:dyDescent="0.2">
      <c r="C150" s="5" t="s">
        <v>193</v>
      </c>
      <c r="D150" t="s">
        <v>379</v>
      </c>
    </row>
    <row r="151" spans="3:4" ht="32" x14ac:dyDescent="0.2">
      <c r="C151" s="5" t="s">
        <v>194</v>
      </c>
      <c r="D151" t="s">
        <v>380</v>
      </c>
    </row>
    <row r="152" spans="3:4" ht="16" x14ac:dyDescent="0.2">
      <c r="C152" s="5" t="s">
        <v>195</v>
      </c>
      <c r="D152" t="s">
        <v>381</v>
      </c>
    </row>
    <row r="153" spans="3:4" ht="16" x14ac:dyDescent="0.2">
      <c r="C153" s="5" t="s">
        <v>196</v>
      </c>
      <c r="D153" t="s">
        <v>382</v>
      </c>
    </row>
    <row r="154" spans="3:4" ht="32" x14ac:dyDescent="0.2">
      <c r="C154" s="5" t="s">
        <v>197</v>
      </c>
      <c r="D154" t="s">
        <v>383</v>
      </c>
    </row>
    <row r="155" spans="3:4" ht="16" x14ac:dyDescent="0.2">
      <c r="C155" s="5" t="s">
        <v>198</v>
      </c>
      <c r="D155" t="s">
        <v>384</v>
      </c>
    </row>
    <row r="156" spans="3:4" ht="16" x14ac:dyDescent="0.2">
      <c r="C156" s="5" t="s">
        <v>199</v>
      </c>
      <c r="D156" t="s">
        <v>385</v>
      </c>
    </row>
    <row r="157" spans="3:4" ht="16" x14ac:dyDescent="0.2">
      <c r="C157" s="6" t="s">
        <v>200</v>
      </c>
      <c r="D157" t="s">
        <v>386</v>
      </c>
    </row>
    <row r="158" spans="3:4" ht="32" x14ac:dyDescent="0.2">
      <c r="C158" s="7" t="s">
        <v>201</v>
      </c>
      <c r="D158" t="s">
        <v>387</v>
      </c>
    </row>
    <row r="159" spans="3:4" ht="16" x14ac:dyDescent="0.2">
      <c r="C159" s="5" t="s">
        <v>202</v>
      </c>
      <c r="D159" t="s">
        <v>388</v>
      </c>
    </row>
    <row r="160" spans="3:4" ht="16" x14ac:dyDescent="0.2">
      <c r="C160" s="5" t="s">
        <v>203</v>
      </c>
      <c r="D160" t="s">
        <v>389</v>
      </c>
    </row>
    <row r="161" spans="3:4" ht="16" x14ac:dyDescent="0.2">
      <c r="C161" s="5" t="s">
        <v>204</v>
      </c>
      <c r="D161" t="s">
        <v>390</v>
      </c>
    </row>
    <row r="162" spans="3:4" ht="16" x14ac:dyDescent="0.2">
      <c r="C162" s="5" t="s">
        <v>88</v>
      </c>
      <c r="D162" t="s">
        <v>391</v>
      </c>
    </row>
    <row r="163" spans="3:4" ht="16" x14ac:dyDescent="0.2">
      <c r="C163" s="5" t="s">
        <v>205</v>
      </c>
      <c r="D163" t="s">
        <v>392</v>
      </c>
    </row>
    <row r="164" spans="3:4" ht="16" x14ac:dyDescent="0.2">
      <c r="C164" s="5" t="s">
        <v>206</v>
      </c>
      <c r="D164" t="s">
        <v>393</v>
      </c>
    </row>
    <row r="165" spans="3:4" ht="16" x14ac:dyDescent="0.2">
      <c r="C165" s="5" t="s">
        <v>207</v>
      </c>
      <c r="D165" t="s">
        <v>394</v>
      </c>
    </row>
    <row r="166" spans="3:4" ht="16" x14ac:dyDescent="0.2">
      <c r="C166" s="5" t="s">
        <v>208</v>
      </c>
      <c r="D166" t="s">
        <v>395</v>
      </c>
    </row>
    <row r="167" spans="3:4" ht="16" x14ac:dyDescent="0.2">
      <c r="C167" s="5" t="s">
        <v>209</v>
      </c>
      <c r="D167" t="s">
        <v>396</v>
      </c>
    </row>
    <row r="168" spans="3:4" ht="16" x14ac:dyDescent="0.2">
      <c r="C168" s="5" t="s">
        <v>210</v>
      </c>
      <c r="D168" t="s">
        <v>397</v>
      </c>
    </row>
    <row r="169" spans="3:4" ht="16" x14ac:dyDescent="0.2">
      <c r="C169" s="5" t="s">
        <v>211</v>
      </c>
      <c r="D169" t="s">
        <v>398</v>
      </c>
    </row>
    <row r="170" spans="3:4" ht="16" x14ac:dyDescent="0.2">
      <c r="C170" s="5" t="s">
        <v>212</v>
      </c>
      <c r="D170" t="s">
        <v>399</v>
      </c>
    </row>
    <row r="171" spans="3:4" ht="32" x14ac:dyDescent="0.2">
      <c r="C171" s="5" t="s">
        <v>213</v>
      </c>
      <c r="D171" t="s">
        <v>400</v>
      </c>
    </row>
    <row r="172" spans="3:4" ht="16" x14ac:dyDescent="0.2">
      <c r="C172" s="5" t="s">
        <v>214</v>
      </c>
      <c r="D172" t="s">
        <v>401</v>
      </c>
    </row>
    <row r="173" spans="3:4" ht="16" x14ac:dyDescent="0.2">
      <c r="C173" s="5" t="s">
        <v>215</v>
      </c>
      <c r="D173" t="s">
        <v>402</v>
      </c>
    </row>
    <row r="174" spans="3:4" ht="16" x14ac:dyDescent="0.2">
      <c r="C174" s="5" t="s">
        <v>216</v>
      </c>
      <c r="D174" t="s">
        <v>403</v>
      </c>
    </row>
    <row r="175" spans="3:4" ht="16" x14ac:dyDescent="0.2">
      <c r="C175" s="5" t="s">
        <v>217</v>
      </c>
      <c r="D175" t="s">
        <v>404</v>
      </c>
    </row>
    <row r="176" spans="3:4" ht="16" x14ac:dyDescent="0.2">
      <c r="C176" s="5" t="s">
        <v>218</v>
      </c>
      <c r="D176" t="s">
        <v>405</v>
      </c>
    </row>
    <row r="177" spans="1:4" ht="16" x14ac:dyDescent="0.2">
      <c r="C177" s="5" t="s">
        <v>219</v>
      </c>
      <c r="D177" t="s">
        <v>406</v>
      </c>
    </row>
    <row r="178" spans="1:4" ht="16" x14ac:dyDescent="0.2">
      <c r="C178" s="5" t="s">
        <v>220</v>
      </c>
      <c r="D178" t="s">
        <v>407</v>
      </c>
    </row>
    <row r="179" spans="1:4" ht="16" x14ac:dyDescent="0.2">
      <c r="C179" s="5" t="s">
        <v>221</v>
      </c>
      <c r="D179" t="s">
        <v>408</v>
      </c>
    </row>
    <row r="180" spans="1:4" ht="16" x14ac:dyDescent="0.2">
      <c r="C180" s="5" t="s">
        <v>222</v>
      </c>
      <c r="D180" t="s">
        <v>409</v>
      </c>
    </row>
    <row r="181" spans="1:4" ht="16" x14ac:dyDescent="0.2">
      <c r="C181" s="5" t="s">
        <v>223</v>
      </c>
      <c r="D181" t="s">
        <v>410</v>
      </c>
    </row>
    <row r="182" spans="1:4" ht="16" x14ac:dyDescent="0.2">
      <c r="C182" s="5" t="s">
        <v>224</v>
      </c>
      <c r="D182" t="s">
        <v>411</v>
      </c>
    </row>
    <row r="183" spans="1:4" ht="16" x14ac:dyDescent="0.2">
      <c r="C183" s="5" t="s">
        <v>225</v>
      </c>
      <c r="D183" t="s">
        <v>412</v>
      </c>
    </row>
    <row r="184" spans="1:4" ht="16" x14ac:dyDescent="0.2">
      <c r="C184" s="5" t="s">
        <v>226</v>
      </c>
      <c r="D184" t="s">
        <v>413</v>
      </c>
    </row>
    <row r="185" spans="1:4" ht="32" x14ac:dyDescent="0.2">
      <c r="C185" s="5" t="s">
        <v>227</v>
      </c>
      <c r="D185" t="s">
        <v>414</v>
      </c>
    </row>
    <row r="186" spans="1:4" ht="32" x14ac:dyDescent="0.2">
      <c r="C186" s="5" t="s">
        <v>228</v>
      </c>
      <c r="D186" t="s">
        <v>415</v>
      </c>
    </row>
    <row r="187" spans="1:4" ht="16" x14ac:dyDescent="0.2">
      <c r="A187" s="13" t="s">
        <v>229</v>
      </c>
      <c r="B187" s="13" t="s">
        <v>230</v>
      </c>
      <c r="C187" s="5" t="s">
        <v>231</v>
      </c>
      <c r="D187" t="s">
        <v>416</v>
      </c>
    </row>
    <row r="188" spans="1:4" ht="32" x14ac:dyDescent="0.2">
      <c r="C188" s="5" t="s">
        <v>232</v>
      </c>
      <c r="D188" t="s">
        <v>417</v>
      </c>
    </row>
    <row r="189" spans="1:4" ht="16" x14ac:dyDescent="0.2">
      <c r="C189" s="5" t="s">
        <v>233</v>
      </c>
      <c r="D189" t="s">
        <v>418</v>
      </c>
    </row>
    <row r="190" spans="1:4" ht="16" x14ac:dyDescent="0.2">
      <c r="C190" s="5" t="s">
        <v>234</v>
      </c>
      <c r="D190" t="s">
        <v>419</v>
      </c>
    </row>
    <row r="191" spans="1:4" ht="16" x14ac:dyDescent="0.2">
      <c r="C191" s="5" t="s">
        <v>235</v>
      </c>
      <c r="D191" t="s">
        <v>420</v>
      </c>
    </row>
    <row r="192" spans="1:4" ht="16" x14ac:dyDescent="0.2">
      <c r="C192" s="5" t="s">
        <v>236</v>
      </c>
      <c r="D192" t="s">
        <v>421</v>
      </c>
    </row>
    <row r="193" spans="2:4" ht="16" x14ac:dyDescent="0.2">
      <c r="B193" s="13" t="s">
        <v>237</v>
      </c>
      <c r="C193" s="14" t="s">
        <v>231</v>
      </c>
      <c r="D193" t="s">
        <v>422</v>
      </c>
    </row>
    <row r="194" spans="2:4" ht="32" x14ac:dyDescent="0.2">
      <c r="C194" s="7" t="s">
        <v>232</v>
      </c>
      <c r="D194" t="s">
        <v>423</v>
      </c>
    </row>
    <row r="195" spans="2:4" ht="16" x14ac:dyDescent="0.2">
      <c r="C195" s="5" t="s">
        <v>233</v>
      </c>
      <c r="D195" t="s">
        <v>424</v>
      </c>
    </row>
    <row r="196" spans="2:4" ht="16" x14ac:dyDescent="0.2">
      <c r="C196" s="5" t="s">
        <v>234</v>
      </c>
      <c r="D196" t="s">
        <v>425</v>
      </c>
    </row>
    <row r="197" spans="2:4" ht="16" x14ac:dyDescent="0.2">
      <c r="C197" s="5" t="s">
        <v>238</v>
      </c>
      <c r="D197" t="s">
        <v>426</v>
      </c>
    </row>
    <row r="198" spans="2:4" ht="16" x14ac:dyDescent="0.2">
      <c r="C198" s="8" t="s">
        <v>88</v>
      </c>
    </row>
    <row r="199" spans="2:4" ht="16" x14ac:dyDescent="0.2">
      <c r="B199" s="5" t="s">
        <v>239</v>
      </c>
      <c r="C199" s="5" t="s">
        <v>240</v>
      </c>
    </row>
    <row r="200" spans="2:4" ht="16" x14ac:dyDescent="0.2">
      <c r="B200" s="5" t="s">
        <v>241</v>
      </c>
      <c r="C200" s="5" t="s">
        <v>242</v>
      </c>
    </row>
    <row r="201" spans="2:4" ht="16" x14ac:dyDescent="0.2">
      <c r="B201" s="5" t="s">
        <v>243</v>
      </c>
      <c r="C201" s="5" t="s">
        <v>244</v>
      </c>
    </row>
    <row r="202" spans="2:4" ht="16" x14ac:dyDescent="0.2">
      <c r="B202" s="5"/>
      <c r="C202" s="5" t="s">
        <v>245</v>
      </c>
    </row>
    <row r="203" spans="2:4" ht="16" x14ac:dyDescent="0.2">
      <c r="B203" s="13" t="s">
        <v>246</v>
      </c>
      <c r="C203" s="5" t="s">
        <v>247</v>
      </c>
    </row>
    <row r="204" spans="2:4" ht="16" x14ac:dyDescent="0.2">
      <c r="B204" s="13" t="s">
        <v>248</v>
      </c>
      <c r="C204" s="15" t="s">
        <v>249</v>
      </c>
    </row>
    <row r="205" spans="2:4" ht="16" x14ac:dyDescent="0.2">
      <c r="C205" s="15" t="s">
        <v>250</v>
      </c>
    </row>
    <row r="206" spans="2:4" ht="16" x14ac:dyDescent="0.2">
      <c r="C206" s="6" t="s">
        <v>251</v>
      </c>
    </row>
    <row r="207" spans="2:4" ht="16" x14ac:dyDescent="0.2">
      <c r="C207" s="16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D35C-81A7-46FF-8242-BE88320E0AE8}">
  <dimension ref="A2:Q71"/>
  <sheetViews>
    <sheetView topLeftCell="A2" zoomScale="115" zoomScaleNormal="115" workbookViewId="0">
      <pane xSplit="1" ySplit="1" topLeftCell="B3" activePane="bottomRight" state="frozen"/>
      <selection activeCell="A2" sqref="A2"/>
      <selection pane="topRight" activeCell="B2" sqref="B2"/>
      <selection pane="bottomLeft" activeCell="A3" sqref="A3"/>
      <selection pane="bottomRight" activeCell="A3" sqref="A3"/>
    </sheetView>
  </sheetViews>
  <sheetFormatPr baseColWidth="10" defaultColWidth="8.83203125" defaultRowHeight="15" x14ac:dyDescent="0.2"/>
  <cols>
    <col min="1" max="1" width="32.6640625" customWidth="1"/>
    <col min="2" max="2" width="32.6640625" style="30" customWidth="1"/>
    <col min="3" max="3" width="55.33203125" customWidth="1"/>
    <col min="4" max="4" width="32.6640625" customWidth="1"/>
    <col min="5" max="5" width="22.5" bestFit="1" customWidth="1"/>
    <col min="6" max="6" width="20.1640625" customWidth="1"/>
    <col min="7" max="7" width="29.83203125" bestFit="1" customWidth="1"/>
    <col min="8" max="11" width="29.83203125" customWidth="1"/>
    <col min="12" max="12" width="13.1640625" customWidth="1"/>
    <col min="13" max="13" width="20.1640625" customWidth="1"/>
    <col min="14" max="14" width="26.1640625" bestFit="1" customWidth="1"/>
    <col min="15" max="15" width="14.6640625" bestFit="1" customWidth="1"/>
    <col min="16" max="16" width="13.83203125" bestFit="1" customWidth="1"/>
    <col min="17" max="17" width="15.6640625" bestFit="1" customWidth="1"/>
  </cols>
  <sheetData>
    <row r="2" spans="1:17" ht="18" customHeight="1" x14ac:dyDescent="0.2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3" t="s">
        <v>433</v>
      </c>
      <c r="G2" s="3" t="s">
        <v>434</v>
      </c>
      <c r="H2" s="3" t="s">
        <v>432</v>
      </c>
      <c r="I2" s="3" t="s">
        <v>431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</row>
    <row r="3" spans="1:17" ht="16" x14ac:dyDescent="0.2">
      <c r="A3" s="22" t="s">
        <v>459</v>
      </c>
      <c r="B3" s="23" t="s">
        <v>460</v>
      </c>
      <c r="C3" s="24" t="s">
        <v>461</v>
      </c>
      <c r="D3" s="24" t="s">
        <v>462</v>
      </c>
      <c r="E3" s="23"/>
      <c r="F3" s="22"/>
      <c r="G3" s="22"/>
      <c r="H3" s="22"/>
      <c r="I3" s="22"/>
      <c r="J3" s="22"/>
      <c r="K3" s="22"/>
      <c r="L3" s="22"/>
      <c r="M3" s="22"/>
      <c r="N3" s="22"/>
      <c r="O3" s="22" t="s">
        <v>18</v>
      </c>
      <c r="P3" s="22" t="s">
        <v>19</v>
      </c>
      <c r="Q3" s="22"/>
    </row>
    <row r="4" spans="1:17" ht="16" x14ac:dyDescent="0.2">
      <c r="A4" s="22" t="s">
        <v>463</v>
      </c>
      <c r="B4" s="23" t="s">
        <v>460</v>
      </c>
      <c r="C4" s="24" t="s">
        <v>464</v>
      </c>
      <c r="D4" s="24" t="s">
        <v>465</v>
      </c>
      <c r="E4" s="23"/>
      <c r="F4" s="22"/>
      <c r="G4" s="22"/>
      <c r="H4" s="22"/>
      <c r="I4" s="22"/>
      <c r="J4" s="22"/>
      <c r="K4" s="22"/>
      <c r="L4" s="22"/>
      <c r="M4" s="22"/>
      <c r="N4" s="22"/>
      <c r="O4" s="22" t="s">
        <v>18</v>
      </c>
      <c r="P4" s="22" t="s">
        <v>19</v>
      </c>
      <c r="Q4" s="22"/>
    </row>
    <row r="5" spans="1:17" ht="16" x14ac:dyDescent="0.2">
      <c r="A5" s="22" t="s">
        <v>463</v>
      </c>
      <c r="B5" s="23" t="s">
        <v>460</v>
      </c>
      <c r="C5" s="24" t="s">
        <v>460</v>
      </c>
      <c r="D5" s="24" t="s">
        <v>466</v>
      </c>
      <c r="E5" s="23"/>
      <c r="F5" s="22"/>
      <c r="G5" s="22"/>
      <c r="H5" s="22"/>
      <c r="I5" s="22"/>
      <c r="J5" s="22"/>
      <c r="K5" s="22"/>
      <c r="L5" s="22"/>
      <c r="M5" s="22"/>
      <c r="N5" s="22"/>
      <c r="O5" s="22" t="s">
        <v>18</v>
      </c>
      <c r="P5" s="22" t="s">
        <v>19</v>
      </c>
      <c r="Q5" s="22"/>
    </row>
    <row r="6" spans="1:17" ht="16" x14ac:dyDescent="0.2">
      <c r="A6" s="22" t="s">
        <v>463</v>
      </c>
      <c r="B6" s="23" t="s">
        <v>467</v>
      </c>
      <c r="C6" s="24" t="s">
        <v>468</v>
      </c>
      <c r="D6" s="24" t="s">
        <v>469</v>
      </c>
      <c r="E6" s="23"/>
      <c r="F6" s="22"/>
      <c r="G6" s="22"/>
      <c r="H6" s="22"/>
      <c r="I6" s="22"/>
      <c r="J6" s="22"/>
      <c r="K6" s="22"/>
      <c r="L6" s="22"/>
      <c r="M6" s="22"/>
      <c r="N6" s="22"/>
      <c r="O6" s="22" t="s">
        <v>18</v>
      </c>
      <c r="P6" s="22" t="s">
        <v>19</v>
      </c>
      <c r="Q6" s="22"/>
    </row>
    <row r="7" spans="1:17" ht="16" x14ac:dyDescent="0.2">
      <c r="A7" s="22" t="s">
        <v>463</v>
      </c>
      <c r="B7" s="23" t="s">
        <v>467</v>
      </c>
      <c r="C7" s="24" t="s">
        <v>470</v>
      </c>
      <c r="D7" s="24" t="s">
        <v>471</v>
      </c>
      <c r="E7" s="23"/>
      <c r="F7" s="22"/>
      <c r="G7" s="22"/>
      <c r="H7" s="22"/>
      <c r="I7" s="22"/>
      <c r="J7" s="22"/>
      <c r="K7" s="22"/>
      <c r="L7" s="22"/>
      <c r="M7" s="22"/>
      <c r="N7" s="22"/>
      <c r="O7" s="22" t="s">
        <v>18</v>
      </c>
      <c r="P7" s="22" t="s">
        <v>19</v>
      </c>
      <c r="Q7" s="22"/>
    </row>
    <row r="8" spans="1:17" ht="16" x14ac:dyDescent="0.2">
      <c r="A8" s="22" t="s">
        <v>463</v>
      </c>
      <c r="B8" s="23" t="s">
        <v>467</v>
      </c>
      <c r="C8" s="24" t="s">
        <v>472</v>
      </c>
      <c r="D8" s="24" t="s">
        <v>473</v>
      </c>
      <c r="E8" s="23"/>
      <c r="F8" s="22"/>
      <c r="G8" s="22"/>
      <c r="H8" s="22"/>
      <c r="I8" s="22"/>
      <c r="J8" s="22"/>
      <c r="K8" s="22"/>
      <c r="L8" s="22"/>
      <c r="M8" s="22"/>
      <c r="N8" s="22"/>
      <c r="O8" s="22" t="s">
        <v>18</v>
      </c>
      <c r="P8" s="22" t="s">
        <v>19</v>
      </c>
      <c r="Q8" s="22"/>
    </row>
    <row r="9" spans="1:17" ht="16" x14ac:dyDescent="0.2">
      <c r="A9" s="22" t="s">
        <v>463</v>
      </c>
      <c r="B9" s="23" t="s">
        <v>467</v>
      </c>
      <c r="C9" s="24" t="s">
        <v>467</v>
      </c>
      <c r="D9" s="24" t="s">
        <v>474</v>
      </c>
      <c r="E9" s="23"/>
      <c r="F9" s="22"/>
      <c r="G9" s="22"/>
      <c r="H9" s="22"/>
      <c r="I9" s="22"/>
      <c r="J9" s="22"/>
      <c r="K9" s="22"/>
      <c r="L9" s="22"/>
      <c r="M9" s="22"/>
      <c r="N9" s="22"/>
      <c r="O9" s="22" t="s">
        <v>18</v>
      </c>
      <c r="P9" s="22" t="s">
        <v>19</v>
      </c>
      <c r="Q9" s="22"/>
    </row>
    <row r="10" spans="1:17" ht="16" x14ac:dyDescent="0.2">
      <c r="A10" s="22" t="s">
        <v>463</v>
      </c>
      <c r="B10" s="23" t="s">
        <v>475</v>
      </c>
      <c r="C10" s="24" t="s">
        <v>476</v>
      </c>
      <c r="D10" s="24" t="s">
        <v>477</v>
      </c>
      <c r="E10" s="23">
        <v>1</v>
      </c>
      <c r="F10" s="22"/>
      <c r="G10" s="18"/>
      <c r="H10" s="18"/>
      <c r="I10" s="18"/>
      <c r="J10" s="18">
        <v>45113</v>
      </c>
      <c r="K10" s="18">
        <v>45113</v>
      </c>
      <c r="L10" s="22"/>
      <c r="M10" s="22"/>
      <c r="N10" s="22"/>
      <c r="O10" s="22" t="s">
        <v>18</v>
      </c>
      <c r="P10" s="22" t="s">
        <v>19</v>
      </c>
      <c r="Q10" s="22" t="s">
        <v>478</v>
      </c>
    </row>
    <row r="11" spans="1:17" ht="16" x14ac:dyDescent="0.2">
      <c r="A11" s="22" t="s">
        <v>463</v>
      </c>
      <c r="B11" s="23" t="s">
        <v>475</v>
      </c>
      <c r="C11" s="24" t="s">
        <v>479</v>
      </c>
      <c r="D11" s="24" t="s">
        <v>480</v>
      </c>
      <c r="E11" s="23"/>
      <c r="F11" s="22"/>
      <c r="G11" s="18"/>
      <c r="H11" s="18"/>
      <c r="I11" s="18"/>
      <c r="J11" s="18">
        <f>J10+7</f>
        <v>45120</v>
      </c>
      <c r="K11" s="18">
        <f>K10+7</f>
        <v>45120</v>
      </c>
      <c r="L11" s="22"/>
      <c r="M11" s="22"/>
      <c r="N11" s="22"/>
      <c r="O11" s="22" t="s">
        <v>481</v>
      </c>
      <c r="P11" s="22" t="s">
        <v>36</v>
      </c>
      <c r="Q11" s="22"/>
    </row>
    <row r="12" spans="1:17" ht="16" x14ac:dyDescent="0.2">
      <c r="A12" s="22" t="s">
        <v>463</v>
      </c>
      <c r="B12" s="23" t="s">
        <v>475</v>
      </c>
      <c r="C12" s="24" t="s">
        <v>482</v>
      </c>
      <c r="D12" s="24" t="s">
        <v>483</v>
      </c>
      <c r="E12" s="25"/>
      <c r="F12" s="22"/>
      <c r="G12" s="18"/>
      <c r="H12" s="18"/>
      <c r="I12" s="18"/>
      <c r="J12" s="18">
        <f>J11+5</f>
        <v>45125</v>
      </c>
      <c r="K12" s="18">
        <f>K11+7</f>
        <v>45127</v>
      </c>
      <c r="L12" s="22"/>
      <c r="M12" s="22"/>
      <c r="N12" s="22"/>
      <c r="O12" s="22" t="s">
        <v>481</v>
      </c>
      <c r="P12" s="22" t="s">
        <v>36</v>
      </c>
      <c r="Q12" s="22"/>
    </row>
    <row r="13" spans="1:17" ht="16" x14ac:dyDescent="0.2">
      <c r="A13" s="22" t="s">
        <v>463</v>
      </c>
      <c r="B13" s="23" t="s">
        <v>484</v>
      </c>
      <c r="C13" s="24" t="s">
        <v>485</v>
      </c>
      <c r="D13" s="24" t="s">
        <v>486</v>
      </c>
      <c r="E13" s="23"/>
      <c r="F13" s="22"/>
      <c r="G13" s="18"/>
      <c r="H13" s="18"/>
      <c r="I13" s="18"/>
      <c r="J13" s="18">
        <f>J12+2</f>
        <v>45127</v>
      </c>
      <c r="K13" s="18">
        <f>K12+7</f>
        <v>45134</v>
      </c>
      <c r="L13" s="22"/>
      <c r="M13" s="22"/>
      <c r="N13" s="22"/>
      <c r="O13" s="22" t="s">
        <v>481</v>
      </c>
      <c r="P13" s="22" t="s">
        <v>36</v>
      </c>
      <c r="Q13" s="22"/>
    </row>
    <row r="14" spans="1:17" ht="16" x14ac:dyDescent="0.2">
      <c r="A14" s="22" t="s">
        <v>463</v>
      </c>
      <c r="B14" s="23" t="s">
        <v>484</v>
      </c>
      <c r="C14" s="24" t="s">
        <v>487</v>
      </c>
      <c r="D14" s="24" t="s">
        <v>486</v>
      </c>
      <c r="E14" s="23"/>
      <c r="F14" s="22"/>
      <c r="G14" s="18"/>
      <c r="H14" s="18"/>
      <c r="I14" s="18"/>
      <c r="J14" s="18">
        <f>J13+2</f>
        <v>45129</v>
      </c>
      <c r="K14" s="18">
        <f>K13+7</f>
        <v>45141</v>
      </c>
      <c r="L14" s="22"/>
      <c r="M14" s="22"/>
      <c r="N14" s="22"/>
      <c r="O14" s="22" t="s">
        <v>481</v>
      </c>
      <c r="P14" s="22" t="s">
        <v>36</v>
      </c>
      <c r="Q14" s="22"/>
    </row>
    <row r="15" spans="1:17" ht="16" x14ac:dyDescent="0.2">
      <c r="A15" s="22" t="s">
        <v>463</v>
      </c>
      <c r="B15" s="23" t="s">
        <v>484</v>
      </c>
      <c r="C15" s="24" t="s">
        <v>484</v>
      </c>
      <c r="D15" s="24" t="s">
        <v>486</v>
      </c>
      <c r="E15" s="23">
        <v>1</v>
      </c>
      <c r="F15" s="22"/>
      <c r="G15" s="18"/>
      <c r="H15" s="18"/>
      <c r="I15" s="18"/>
      <c r="J15" s="49">
        <v>45132</v>
      </c>
      <c r="K15" s="49">
        <v>45135</v>
      </c>
      <c r="L15" s="22"/>
      <c r="M15" s="22"/>
      <c r="N15" s="22"/>
      <c r="O15" s="22" t="s">
        <v>481</v>
      </c>
      <c r="P15" s="22" t="s">
        <v>36</v>
      </c>
      <c r="Q15" s="22"/>
    </row>
    <row r="16" spans="1:17" ht="16" x14ac:dyDescent="0.2">
      <c r="A16" s="22" t="s">
        <v>488</v>
      </c>
      <c r="B16" s="23" t="s">
        <v>460</v>
      </c>
      <c r="C16" s="24" t="s">
        <v>461</v>
      </c>
      <c r="D16" s="24" t="s">
        <v>462</v>
      </c>
      <c r="E16" s="23"/>
      <c r="F16" s="22"/>
      <c r="G16" s="22"/>
      <c r="H16" s="22"/>
      <c r="I16" s="22"/>
      <c r="J16" s="22"/>
      <c r="K16" s="22"/>
      <c r="L16" s="22"/>
      <c r="M16" s="22"/>
      <c r="N16" s="22"/>
      <c r="O16" s="22" t="s">
        <v>18</v>
      </c>
      <c r="P16" s="22" t="s">
        <v>19</v>
      </c>
      <c r="Q16" s="22"/>
    </row>
    <row r="17" spans="1:17" ht="16" x14ac:dyDescent="0.2">
      <c r="A17" s="22" t="s">
        <v>488</v>
      </c>
      <c r="B17" s="23" t="s">
        <v>460</v>
      </c>
      <c r="C17" s="24" t="s">
        <v>464</v>
      </c>
      <c r="D17" s="24" t="s">
        <v>465</v>
      </c>
      <c r="E17" s="23"/>
      <c r="F17" s="22"/>
      <c r="G17" s="22"/>
      <c r="H17" s="22"/>
      <c r="I17" s="22"/>
      <c r="J17" s="22"/>
      <c r="K17" s="22"/>
      <c r="L17" s="22"/>
      <c r="M17" s="22"/>
      <c r="N17" s="22"/>
      <c r="O17" s="22" t="s">
        <v>18</v>
      </c>
      <c r="P17" s="22" t="s">
        <v>19</v>
      </c>
      <c r="Q17" s="22"/>
    </row>
    <row r="18" spans="1:17" ht="16" x14ac:dyDescent="0.2">
      <c r="A18" s="22" t="s">
        <v>488</v>
      </c>
      <c r="B18" s="23" t="s">
        <v>460</v>
      </c>
      <c r="C18" s="24" t="s">
        <v>460</v>
      </c>
      <c r="D18" s="24" t="s">
        <v>466</v>
      </c>
      <c r="E18" s="23"/>
      <c r="F18" s="22"/>
      <c r="G18" s="22"/>
      <c r="H18" s="22"/>
      <c r="I18" s="22"/>
      <c r="J18" s="22"/>
      <c r="K18" s="22"/>
      <c r="L18" s="22"/>
      <c r="M18" s="22"/>
      <c r="N18" s="22"/>
      <c r="O18" s="22" t="s">
        <v>18</v>
      </c>
      <c r="P18" s="22" t="s">
        <v>19</v>
      </c>
      <c r="Q18" s="22"/>
    </row>
    <row r="19" spans="1:17" ht="16" x14ac:dyDescent="0.2">
      <c r="A19" s="22" t="s">
        <v>488</v>
      </c>
      <c r="B19" s="23" t="s">
        <v>467</v>
      </c>
      <c r="C19" s="24" t="s">
        <v>468</v>
      </c>
      <c r="D19" s="24" t="s">
        <v>469</v>
      </c>
      <c r="E19" s="23"/>
      <c r="F19" s="22"/>
      <c r="G19" s="22"/>
      <c r="H19" s="22"/>
      <c r="I19" s="22"/>
      <c r="J19" s="22"/>
      <c r="K19" s="22"/>
      <c r="L19" s="22"/>
      <c r="M19" s="22"/>
      <c r="N19" s="22"/>
      <c r="O19" s="22" t="s">
        <v>18</v>
      </c>
      <c r="P19" s="22" t="s">
        <v>19</v>
      </c>
      <c r="Q19" s="22"/>
    </row>
    <row r="20" spans="1:17" ht="16" x14ac:dyDescent="0.2">
      <c r="A20" s="22" t="s">
        <v>488</v>
      </c>
      <c r="B20" s="23" t="s">
        <v>467</v>
      </c>
      <c r="C20" s="24" t="s">
        <v>470</v>
      </c>
      <c r="D20" s="24" t="s">
        <v>471</v>
      </c>
      <c r="E20" s="23"/>
      <c r="F20" s="22"/>
      <c r="G20" s="22"/>
      <c r="H20" s="22"/>
      <c r="I20" s="22"/>
      <c r="J20" s="22"/>
      <c r="K20" s="22"/>
      <c r="L20" s="22"/>
      <c r="M20" s="22"/>
      <c r="N20" s="22"/>
      <c r="O20" s="22" t="s">
        <v>18</v>
      </c>
      <c r="P20" s="22" t="s">
        <v>19</v>
      </c>
      <c r="Q20" s="22"/>
    </row>
    <row r="21" spans="1:17" ht="16" x14ac:dyDescent="0.2">
      <c r="A21" s="22" t="s">
        <v>488</v>
      </c>
      <c r="B21" s="23" t="s">
        <v>467</v>
      </c>
      <c r="C21" s="24" t="s">
        <v>472</v>
      </c>
      <c r="D21" s="24" t="s">
        <v>473</v>
      </c>
      <c r="E21" s="23"/>
      <c r="F21" s="22"/>
      <c r="G21" s="22"/>
      <c r="H21" s="22"/>
      <c r="I21" s="22"/>
      <c r="J21" s="22"/>
      <c r="K21" s="22"/>
      <c r="L21" s="22"/>
      <c r="M21" s="22"/>
      <c r="N21" s="22"/>
      <c r="O21" s="22" t="s">
        <v>18</v>
      </c>
      <c r="P21" s="22" t="s">
        <v>19</v>
      </c>
      <c r="Q21" s="22"/>
    </row>
    <row r="22" spans="1:17" ht="16" x14ac:dyDescent="0.2">
      <c r="A22" s="22" t="s">
        <v>488</v>
      </c>
      <c r="B22" s="23" t="s">
        <v>467</v>
      </c>
      <c r="C22" s="24" t="s">
        <v>467</v>
      </c>
      <c r="D22" s="24" t="s">
        <v>474</v>
      </c>
      <c r="E22" s="23"/>
      <c r="F22" s="22"/>
      <c r="G22" s="22"/>
      <c r="H22" s="22"/>
      <c r="I22" s="22"/>
      <c r="J22" s="22"/>
      <c r="K22" s="22"/>
      <c r="L22" s="22"/>
      <c r="M22" s="22"/>
      <c r="N22" s="22"/>
      <c r="O22" s="22" t="s">
        <v>18</v>
      </c>
      <c r="P22" s="22" t="s">
        <v>19</v>
      </c>
      <c r="Q22" s="22"/>
    </row>
    <row r="23" spans="1:17" ht="16" x14ac:dyDescent="0.2">
      <c r="A23" s="22" t="s">
        <v>488</v>
      </c>
      <c r="B23" s="23" t="s">
        <v>475</v>
      </c>
      <c r="C23" s="24" t="s">
        <v>476</v>
      </c>
      <c r="D23" s="24" t="s">
        <v>477</v>
      </c>
      <c r="E23" s="23">
        <v>1</v>
      </c>
      <c r="F23" s="22"/>
      <c r="G23" s="18"/>
      <c r="H23" s="18"/>
      <c r="I23" s="18"/>
      <c r="J23" s="18">
        <v>45127</v>
      </c>
      <c r="K23" s="18">
        <f>G23</f>
        <v>0</v>
      </c>
      <c r="L23" s="22"/>
      <c r="M23" s="22"/>
      <c r="N23" s="22"/>
      <c r="O23" s="22" t="s">
        <v>32</v>
      </c>
      <c r="P23" s="22" t="s">
        <v>19</v>
      </c>
      <c r="Q23" s="22"/>
    </row>
    <row r="24" spans="1:17" ht="16" x14ac:dyDescent="0.2">
      <c r="A24" s="22" t="s">
        <v>488</v>
      </c>
      <c r="B24" s="23" t="s">
        <v>475</v>
      </c>
      <c r="C24" s="24" t="s">
        <v>479</v>
      </c>
      <c r="D24" s="24" t="s">
        <v>480</v>
      </c>
      <c r="E24" s="23"/>
      <c r="F24" s="22"/>
      <c r="G24" s="18"/>
      <c r="H24" s="18"/>
      <c r="I24" s="18"/>
      <c r="J24" s="18">
        <f>J23+7</f>
        <v>45134</v>
      </c>
      <c r="K24" s="18">
        <f>K23+7</f>
        <v>7</v>
      </c>
      <c r="L24" s="22"/>
      <c r="M24" s="22"/>
      <c r="N24" s="22"/>
      <c r="O24" s="22" t="s">
        <v>481</v>
      </c>
      <c r="P24" s="22" t="s">
        <v>489</v>
      </c>
      <c r="Q24" s="22"/>
    </row>
    <row r="25" spans="1:17" ht="16" x14ac:dyDescent="0.2">
      <c r="A25" s="22" t="s">
        <v>488</v>
      </c>
      <c r="B25" s="23" t="s">
        <v>475</v>
      </c>
      <c r="C25" s="24" t="s">
        <v>482</v>
      </c>
      <c r="D25" s="24" t="s">
        <v>483</v>
      </c>
      <c r="E25" s="25"/>
      <c r="F25" s="22"/>
      <c r="G25" s="18"/>
      <c r="H25" s="18"/>
      <c r="I25" s="18"/>
      <c r="J25" s="18">
        <f>J24+5</f>
        <v>45139</v>
      </c>
      <c r="K25" s="18">
        <f>K24+7</f>
        <v>14</v>
      </c>
      <c r="L25" s="22"/>
      <c r="M25" s="22"/>
      <c r="N25" s="22"/>
      <c r="O25" s="22" t="s">
        <v>481</v>
      </c>
      <c r="P25" s="22" t="s">
        <v>489</v>
      </c>
      <c r="Q25" s="22"/>
    </row>
    <row r="26" spans="1:17" ht="16" x14ac:dyDescent="0.2">
      <c r="A26" s="22" t="s">
        <v>488</v>
      </c>
      <c r="B26" s="23" t="s">
        <v>484</v>
      </c>
      <c r="C26" s="24" t="s">
        <v>485</v>
      </c>
      <c r="D26" s="24" t="s">
        <v>486</v>
      </c>
      <c r="E26" s="23"/>
      <c r="F26" s="22"/>
      <c r="G26" s="18"/>
      <c r="H26" s="18"/>
      <c r="I26" s="18"/>
      <c r="J26" s="18">
        <f>J25+2</f>
        <v>45141</v>
      </c>
      <c r="K26" s="18">
        <f>K25+7</f>
        <v>21</v>
      </c>
      <c r="L26" s="22"/>
      <c r="M26" s="22"/>
      <c r="N26" s="22"/>
      <c r="O26" s="22" t="s">
        <v>481</v>
      </c>
      <c r="P26" s="22" t="s">
        <v>489</v>
      </c>
      <c r="Q26" s="22"/>
    </row>
    <row r="27" spans="1:17" ht="16" x14ac:dyDescent="0.2">
      <c r="A27" s="22" t="s">
        <v>488</v>
      </c>
      <c r="B27" s="23" t="s">
        <v>484</v>
      </c>
      <c r="C27" s="24" t="s">
        <v>487</v>
      </c>
      <c r="D27" s="24" t="s">
        <v>486</v>
      </c>
      <c r="E27" s="23"/>
      <c r="F27" s="22"/>
      <c r="G27" s="18"/>
      <c r="H27" s="18"/>
      <c r="I27" s="18"/>
      <c r="J27" s="18">
        <f>J26+2</f>
        <v>45143</v>
      </c>
      <c r="K27" s="18">
        <f>K26+7</f>
        <v>28</v>
      </c>
      <c r="L27" s="22"/>
      <c r="M27" s="22"/>
      <c r="N27" s="22"/>
      <c r="O27" s="22" t="s">
        <v>481</v>
      </c>
      <c r="P27" s="22" t="s">
        <v>489</v>
      </c>
      <c r="Q27" s="22"/>
    </row>
    <row r="28" spans="1:17" ht="16" x14ac:dyDescent="0.2">
      <c r="A28" s="22" t="s">
        <v>488</v>
      </c>
      <c r="B28" s="23" t="s">
        <v>484</v>
      </c>
      <c r="C28" s="24" t="s">
        <v>484</v>
      </c>
      <c r="D28" s="24" t="s">
        <v>486</v>
      </c>
      <c r="E28" s="23">
        <v>1</v>
      </c>
      <c r="F28" s="22"/>
      <c r="G28" s="18"/>
      <c r="H28" s="18"/>
      <c r="I28" s="18"/>
      <c r="J28" s="18">
        <f>J27+7</f>
        <v>45150</v>
      </c>
      <c r="K28" s="18">
        <f>K27+14</f>
        <v>42</v>
      </c>
      <c r="L28" s="22"/>
      <c r="M28" s="22"/>
      <c r="N28" s="22"/>
      <c r="O28" s="22" t="s">
        <v>481</v>
      </c>
      <c r="P28" s="22" t="s">
        <v>489</v>
      </c>
      <c r="Q28" s="22"/>
    </row>
    <row r="29" spans="1:17" ht="16" x14ac:dyDescent="0.2">
      <c r="A29" s="22" t="s">
        <v>490</v>
      </c>
      <c r="B29" s="23" t="s">
        <v>460</v>
      </c>
      <c r="C29" s="24" t="s">
        <v>461</v>
      </c>
      <c r="D29" s="24" t="s">
        <v>462</v>
      </c>
      <c r="E29" s="2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6" x14ac:dyDescent="0.2">
      <c r="A30" s="22" t="s">
        <v>490</v>
      </c>
      <c r="B30" s="23" t="s">
        <v>460</v>
      </c>
      <c r="C30" s="24" t="s">
        <v>464</v>
      </c>
      <c r="D30" s="24" t="s">
        <v>465</v>
      </c>
      <c r="E30" s="2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6" x14ac:dyDescent="0.2">
      <c r="A31" s="22" t="s">
        <v>490</v>
      </c>
      <c r="B31" s="23" t="s">
        <v>460</v>
      </c>
      <c r="C31" s="24" t="s">
        <v>460</v>
      </c>
      <c r="D31" s="24" t="s">
        <v>466</v>
      </c>
      <c r="E31" s="2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6" x14ac:dyDescent="0.2">
      <c r="A32" s="22" t="s">
        <v>490</v>
      </c>
      <c r="B32" s="23" t="s">
        <v>467</v>
      </c>
      <c r="C32" s="24" t="s">
        <v>468</v>
      </c>
      <c r="D32" s="24" t="s">
        <v>469</v>
      </c>
      <c r="E32" s="2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6" x14ac:dyDescent="0.2">
      <c r="A33" s="22" t="s">
        <v>490</v>
      </c>
      <c r="B33" s="23" t="s">
        <v>467</v>
      </c>
      <c r="C33" s="24" t="s">
        <v>470</v>
      </c>
      <c r="D33" s="24" t="s">
        <v>471</v>
      </c>
      <c r="E33" s="2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6" x14ac:dyDescent="0.2">
      <c r="A34" s="22" t="s">
        <v>490</v>
      </c>
      <c r="B34" s="23" t="s">
        <v>467</v>
      </c>
      <c r="C34" s="24" t="s">
        <v>472</v>
      </c>
      <c r="D34" s="24" t="s">
        <v>473</v>
      </c>
      <c r="E34" s="2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6" x14ac:dyDescent="0.2">
      <c r="A35" s="22" t="s">
        <v>490</v>
      </c>
      <c r="B35" s="23" t="s">
        <v>467</v>
      </c>
      <c r="C35" s="24" t="s">
        <v>467</v>
      </c>
      <c r="D35" s="24" t="s">
        <v>474</v>
      </c>
      <c r="E35" s="2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6" x14ac:dyDescent="0.2">
      <c r="A36" s="22" t="s">
        <v>490</v>
      </c>
      <c r="B36" s="23" t="s">
        <v>475</v>
      </c>
      <c r="C36" s="24" t="s">
        <v>476</v>
      </c>
      <c r="D36" s="24" t="s">
        <v>477</v>
      </c>
      <c r="E36" s="2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6" x14ac:dyDescent="0.2">
      <c r="A37" s="22" t="s">
        <v>490</v>
      </c>
      <c r="B37" s="23" t="s">
        <v>475</v>
      </c>
      <c r="C37" s="24" t="s">
        <v>479</v>
      </c>
      <c r="D37" s="24" t="s">
        <v>480</v>
      </c>
      <c r="E37" s="2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6" x14ac:dyDescent="0.2">
      <c r="A38" s="22" t="s">
        <v>490</v>
      </c>
      <c r="B38" s="23" t="s">
        <v>475</v>
      </c>
      <c r="C38" s="24" t="s">
        <v>482</v>
      </c>
      <c r="D38" s="24" t="s">
        <v>483</v>
      </c>
      <c r="E38" s="2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6" x14ac:dyDescent="0.2">
      <c r="A39" s="22" t="s">
        <v>490</v>
      </c>
      <c r="B39" s="23" t="s">
        <v>475</v>
      </c>
      <c r="C39" s="24" t="s">
        <v>491</v>
      </c>
      <c r="D39" s="24" t="s">
        <v>492</v>
      </c>
      <c r="E39" s="2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6" x14ac:dyDescent="0.2">
      <c r="A40" s="22" t="s">
        <v>490</v>
      </c>
      <c r="B40" s="23" t="s">
        <v>484</v>
      </c>
      <c r="C40" s="24" t="s">
        <v>485</v>
      </c>
      <c r="D40" s="24" t="s">
        <v>486</v>
      </c>
      <c r="E40" s="23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6" x14ac:dyDescent="0.2">
      <c r="A41" s="22" t="s">
        <v>490</v>
      </c>
      <c r="B41" s="23" t="s">
        <v>484</v>
      </c>
      <c r="C41" s="24" t="s">
        <v>487</v>
      </c>
      <c r="D41" s="24" t="s">
        <v>486</v>
      </c>
      <c r="E41" s="23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6" x14ac:dyDescent="0.2">
      <c r="A42" s="22" t="s">
        <v>490</v>
      </c>
      <c r="B42" s="23" t="s">
        <v>484</v>
      </c>
      <c r="C42" s="24" t="s">
        <v>484</v>
      </c>
      <c r="D42" s="24" t="s">
        <v>486</v>
      </c>
      <c r="E42" s="23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6" x14ac:dyDescent="0.2">
      <c r="A43" s="22" t="s">
        <v>493</v>
      </c>
      <c r="B43" s="23" t="s">
        <v>494</v>
      </c>
      <c r="C43" s="24" t="s">
        <v>495</v>
      </c>
      <c r="D43" s="24" t="s">
        <v>462</v>
      </c>
      <c r="E43" s="23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6" x14ac:dyDescent="0.2">
      <c r="A44" s="22" t="s">
        <v>493</v>
      </c>
      <c r="B44" s="23" t="s">
        <v>494</v>
      </c>
      <c r="C44" s="24" t="s">
        <v>496</v>
      </c>
      <c r="D44" s="24" t="s">
        <v>465</v>
      </c>
      <c r="E44" s="23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6" x14ac:dyDescent="0.2">
      <c r="A45" s="22" t="s">
        <v>493</v>
      </c>
      <c r="B45" s="23" t="s">
        <v>460</v>
      </c>
      <c r="C45" s="24" t="s">
        <v>461</v>
      </c>
      <c r="D45" s="24" t="s">
        <v>469</v>
      </c>
      <c r="E45" s="23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6" x14ac:dyDescent="0.2">
      <c r="A46" s="22" t="s">
        <v>493</v>
      </c>
      <c r="B46" s="23" t="s">
        <v>460</v>
      </c>
      <c r="C46" s="24" t="s">
        <v>464</v>
      </c>
      <c r="D46" s="24" t="s">
        <v>471</v>
      </c>
      <c r="E46" s="23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6" x14ac:dyDescent="0.2">
      <c r="A47" s="22" t="s">
        <v>493</v>
      </c>
      <c r="B47" s="23" t="s">
        <v>460</v>
      </c>
      <c r="C47" s="24" t="s">
        <v>460</v>
      </c>
      <c r="D47" s="24" t="s">
        <v>473</v>
      </c>
      <c r="E47" s="23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6" x14ac:dyDescent="0.2">
      <c r="A48" s="22" t="s">
        <v>493</v>
      </c>
      <c r="B48" s="23" t="s">
        <v>467</v>
      </c>
      <c r="C48" s="24" t="s">
        <v>468</v>
      </c>
      <c r="D48" s="24" t="s">
        <v>474</v>
      </c>
      <c r="E48" s="23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6" x14ac:dyDescent="0.2">
      <c r="A49" s="22" t="s">
        <v>493</v>
      </c>
      <c r="B49" s="23" t="s">
        <v>467</v>
      </c>
      <c r="C49" s="24" t="s">
        <v>470</v>
      </c>
      <c r="D49" s="24" t="s">
        <v>477</v>
      </c>
      <c r="E49" s="23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6" x14ac:dyDescent="0.2">
      <c r="A50" s="22" t="s">
        <v>493</v>
      </c>
      <c r="B50" s="23" t="s">
        <v>467</v>
      </c>
      <c r="C50" s="24" t="s">
        <v>472</v>
      </c>
      <c r="D50" s="24" t="s">
        <v>480</v>
      </c>
      <c r="E50" s="23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ht="16" x14ac:dyDescent="0.2">
      <c r="A51" s="22" t="s">
        <v>493</v>
      </c>
      <c r="B51" s="23" t="s">
        <v>467</v>
      </c>
      <c r="C51" s="24" t="s">
        <v>467</v>
      </c>
      <c r="D51" s="24" t="s">
        <v>483</v>
      </c>
      <c r="E51" s="23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6" x14ac:dyDescent="0.2">
      <c r="A52" s="22" t="s">
        <v>493</v>
      </c>
      <c r="B52" s="23" t="s">
        <v>475</v>
      </c>
      <c r="C52" s="24" t="s">
        <v>476</v>
      </c>
      <c r="D52" s="24" t="s">
        <v>492</v>
      </c>
      <c r="E52" s="23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1:17" ht="16" x14ac:dyDescent="0.2">
      <c r="A53" s="22" t="s">
        <v>493</v>
      </c>
      <c r="B53" s="23" t="s">
        <v>475</v>
      </c>
      <c r="C53" s="24" t="s">
        <v>479</v>
      </c>
      <c r="D53" s="24" t="s">
        <v>486</v>
      </c>
      <c r="E53" s="23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6" x14ac:dyDescent="0.2">
      <c r="A54" s="22" t="s">
        <v>493</v>
      </c>
      <c r="B54" s="23" t="s">
        <v>475</v>
      </c>
      <c r="C54" s="24" t="s">
        <v>482</v>
      </c>
      <c r="D54" s="24" t="s">
        <v>497</v>
      </c>
      <c r="E54" s="25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spans="1:17" ht="16" x14ac:dyDescent="0.2">
      <c r="A55" s="22" t="s">
        <v>493</v>
      </c>
      <c r="B55" s="23" t="s">
        <v>475</v>
      </c>
      <c r="C55" s="24" t="s">
        <v>491</v>
      </c>
      <c r="D55" s="24" t="s">
        <v>498</v>
      </c>
      <c r="E55" s="25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1:17" ht="16" x14ac:dyDescent="0.2">
      <c r="A56" s="22" t="s">
        <v>493</v>
      </c>
      <c r="B56" s="23" t="s">
        <v>484</v>
      </c>
      <c r="C56" s="24" t="s">
        <v>485</v>
      </c>
      <c r="D56" s="24" t="s">
        <v>499</v>
      </c>
      <c r="E56" s="23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ht="16" x14ac:dyDescent="0.2">
      <c r="A57" s="22" t="s">
        <v>493</v>
      </c>
      <c r="B57" s="23" t="s">
        <v>484</v>
      </c>
      <c r="C57" s="24" t="s">
        <v>487</v>
      </c>
      <c r="D57" s="24" t="s">
        <v>500</v>
      </c>
      <c r="E57" s="23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1:17" ht="16" x14ac:dyDescent="0.2">
      <c r="A58" s="22" t="s">
        <v>493</v>
      </c>
      <c r="B58" s="23" t="s">
        <v>484</v>
      </c>
      <c r="C58" s="24" t="s">
        <v>484</v>
      </c>
      <c r="D58" s="24" t="s">
        <v>501</v>
      </c>
      <c r="E58" s="23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ht="16" x14ac:dyDescent="0.2">
      <c r="A59" s="22" t="s">
        <v>502</v>
      </c>
      <c r="B59" s="23" t="s">
        <v>460</v>
      </c>
      <c r="C59" s="24" t="s">
        <v>461</v>
      </c>
      <c r="D59" s="24" t="s">
        <v>462</v>
      </c>
      <c r="E59" s="23"/>
      <c r="F59" s="22"/>
      <c r="G59" s="22"/>
      <c r="H59" s="22"/>
      <c r="I59" s="22"/>
      <c r="J59" s="22"/>
      <c r="K59" s="22"/>
      <c r="L59" s="22"/>
      <c r="M59" s="22"/>
      <c r="N59" s="22"/>
      <c r="O59" s="22" t="s">
        <v>18</v>
      </c>
      <c r="P59" s="22" t="s">
        <v>19</v>
      </c>
      <c r="Q59" s="22"/>
    </row>
    <row r="60" spans="1:17" ht="16" x14ac:dyDescent="0.2">
      <c r="A60" s="22" t="s">
        <v>502</v>
      </c>
      <c r="B60" s="23" t="s">
        <v>460</v>
      </c>
      <c r="C60" s="24" t="s">
        <v>464</v>
      </c>
      <c r="D60" s="24" t="s">
        <v>465</v>
      </c>
      <c r="E60" s="23"/>
      <c r="F60" s="22"/>
      <c r="G60" s="22"/>
      <c r="H60" s="22"/>
      <c r="I60" s="22"/>
      <c r="J60" s="22"/>
      <c r="K60" s="22"/>
      <c r="L60" s="22"/>
      <c r="M60" s="22"/>
      <c r="N60" s="22"/>
      <c r="O60" s="22" t="s">
        <v>18</v>
      </c>
      <c r="P60" s="22" t="s">
        <v>19</v>
      </c>
      <c r="Q60" s="22"/>
    </row>
    <row r="61" spans="1:17" ht="16" x14ac:dyDescent="0.2">
      <c r="A61" s="22" t="s">
        <v>502</v>
      </c>
      <c r="B61" s="23" t="s">
        <v>460</v>
      </c>
      <c r="C61" s="24" t="s">
        <v>460</v>
      </c>
      <c r="D61" s="24" t="s">
        <v>466</v>
      </c>
      <c r="E61" s="23"/>
      <c r="F61" s="22"/>
      <c r="G61" s="22"/>
      <c r="H61" s="22"/>
      <c r="I61" s="22"/>
      <c r="J61" s="22"/>
      <c r="K61" s="22"/>
      <c r="L61" s="22"/>
      <c r="M61" s="22"/>
      <c r="N61" s="22"/>
      <c r="O61" s="22" t="s">
        <v>18</v>
      </c>
      <c r="P61" s="22" t="s">
        <v>19</v>
      </c>
      <c r="Q61" s="22"/>
    </row>
    <row r="62" spans="1:17" ht="16" x14ac:dyDescent="0.2">
      <c r="A62" s="22" t="s">
        <v>502</v>
      </c>
      <c r="B62" s="23" t="s">
        <v>467</v>
      </c>
      <c r="C62" s="24" t="s">
        <v>468</v>
      </c>
      <c r="D62" s="24" t="s">
        <v>469</v>
      </c>
      <c r="E62" s="23"/>
      <c r="F62" s="22"/>
      <c r="G62" s="22"/>
      <c r="H62" s="22"/>
      <c r="I62" s="22"/>
      <c r="J62" s="22"/>
      <c r="K62" s="22"/>
      <c r="L62" s="22"/>
      <c r="M62" s="22"/>
      <c r="N62" s="22"/>
      <c r="O62" s="22" t="s">
        <v>18</v>
      </c>
      <c r="P62" s="22" t="s">
        <v>19</v>
      </c>
      <c r="Q62" s="22"/>
    </row>
    <row r="63" spans="1:17" ht="16" x14ac:dyDescent="0.2">
      <c r="A63" s="22" t="s">
        <v>502</v>
      </c>
      <c r="B63" s="23" t="s">
        <v>467</v>
      </c>
      <c r="C63" s="24" t="s">
        <v>470</v>
      </c>
      <c r="D63" s="24" t="s">
        <v>471</v>
      </c>
      <c r="E63" s="23"/>
      <c r="F63" s="22"/>
      <c r="G63" s="22"/>
      <c r="H63" s="22"/>
      <c r="I63" s="22"/>
      <c r="J63" s="22"/>
      <c r="K63" s="22"/>
      <c r="L63" s="22"/>
      <c r="M63" s="22"/>
      <c r="N63" s="22"/>
      <c r="O63" s="22" t="s">
        <v>18</v>
      </c>
      <c r="P63" s="22" t="s">
        <v>19</v>
      </c>
      <c r="Q63" s="22"/>
    </row>
    <row r="64" spans="1:17" ht="16" x14ac:dyDescent="0.2">
      <c r="A64" s="22" t="s">
        <v>502</v>
      </c>
      <c r="B64" s="23" t="s">
        <v>467</v>
      </c>
      <c r="C64" s="24" t="s">
        <v>472</v>
      </c>
      <c r="D64" s="24" t="s">
        <v>473</v>
      </c>
      <c r="E64" s="23"/>
      <c r="F64" s="22"/>
      <c r="G64" s="22"/>
      <c r="H64" s="22"/>
      <c r="I64" s="22"/>
      <c r="J64" s="22"/>
      <c r="K64" s="22"/>
      <c r="L64" s="22"/>
      <c r="M64" s="22"/>
      <c r="N64" s="22"/>
      <c r="O64" s="22" t="s">
        <v>18</v>
      </c>
      <c r="P64" s="22" t="s">
        <v>19</v>
      </c>
      <c r="Q64" s="22"/>
    </row>
    <row r="65" spans="1:17" ht="16" x14ac:dyDescent="0.2">
      <c r="A65" s="22" t="s">
        <v>502</v>
      </c>
      <c r="B65" s="23" t="s">
        <v>467</v>
      </c>
      <c r="C65" s="24" t="s">
        <v>467</v>
      </c>
      <c r="D65" s="24" t="s">
        <v>474</v>
      </c>
      <c r="E65" s="23"/>
      <c r="F65" s="22"/>
      <c r="G65" s="22"/>
      <c r="H65" s="22"/>
      <c r="I65" s="22"/>
      <c r="J65" s="22"/>
      <c r="K65" s="22"/>
      <c r="L65" s="22"/>
      <c r="M65" s="22"/>
      <c r="N65" s="22"/>
      <c r="O65" s="22" t="s">
        <v>18</v>
      </c>
      <c r="P65" s="22" t="s">
        <v>19</v>
      </c>
      <c r="Q65" s="22"/>
    </row>
    <row r="66" spans="1:17" ht="16" x14ac:dyDescent="0.2">
      <c r="A66" s="22" t="s">
        <v>502</v>
      </c>
      <c r="B66" s="23" t="s">
        <v>475</v>
      </c>
      <c r="C66" s="24" t="s">
        <v>476</v>
      </c>
      <c r="D66" s="24" t="s">
        <v>477</v>
      </c>
      <c r="E66" s="23">
        <v>1</v>
      </c>
      <c r="F66" s="22"/>
      <c r="G66" s="18"/>
      <c r="H66" s="18"/>
      <c r="I66" s="18"/>
      <c r="J66" s="18">
        <v>45119</v>
      </c>
      <c r="K66" s="18">
        <f>G66</f>
        <v>0</v>
      </c>
      <c r="L66" s="22"/>
      <c r="M66" s="22"/>
      <c r="N66" s="22"/>
      <c r="O66" s="22" t="s">
        <v>32</v>
      </c>
      <c r="P66" s="22" t="s">
        <v>19</v>
      </c>
      <c r="Q66" s="22"/>
    </row>
    <row r="67" spans="1:17" ht="16" x14ac:dyDescent="0.2">
      <c r="A67" s="22" t="s">
        <v>502</v>
      </c>
      <c r="B67" s="23" t="s">
        <v>475</v>
      </c>
      <c r="C67" s="24" t="s">
        <v>479</v>
      </c>
      <c r="D67" s="24" t="s">
        <v>480</v>
      </c>
      <c r="E67" s="23"/>
      <c r="F67" s="22"/>
      <c r="G67" s="18"/>
      <c r="H67" s="18"/>
      <c r="I67" s="18"/>
      <c r="J67" s="18">
        <f>J66+7</f>
        <v>45126</v>
      </c>
      <c r="K67" s="18">
        <f>K66+7</f>
        <v>7</v>
      </c>
      <c r="L67" s="22"/>
      <c r="M67" s="22"/>
      <c r="N67" s="22"/>
      <c r="O67" s="22" t="s">
        <v>481</v>
      </c>
      <c r="P67" s="22" t="s">
        <v>503</v>
      </c>
      <c r="Q67" s="22"/>
    </row>
    <row r="68" spans="1:17" ht="16" x14ac:dyDescent="0.2">
      <c r="A68" s="22" t="s">
        <v>502</v>
      </c>
      <c r="B68" s="23" t="s">
        <v>475</v>
      </c>
      <c r="C68" s="24" t="s">
        <v>482</v>
      </c>
      <c r="D68" s="24" t="s">
        <v>483</v>
      </c>
      <c r="E68" s="25"/>
      <c r="F68" s="22"/>
      <c r="G68" s="18"/>
      <c r="H68" s="18"/>
      <c r="I68" s="18"/>
      <c r="J68" s="18">
        <f>J67+5</f>
        <v>45131</v>
      </c>
      <c r="K68" s="18">
        <f>K67+7</f>
        <v>14</v>
      </c>
      <c r="L68" s="22"/>
      <c r="M68" s="22"/>
      <c r="N68" s="22"/>
      <c r="O68" s="22" t="s">
        <v>481</v>
      </c>
      <c r="P68" s="22" t="s">
        <v>503</v>
      </c>
      <c r="Q68" s="22"/>
    </row>
    <row r="69" spans="1:17" ht="16" x14ac:dyDescent="0.2">
      <c r="A69" s="22" t="s">
        <v>502</v>
      </c>
      <c r="B69" s="23" t="s">
        <v>484</v>
      </c>
      <c r="C69" s="24" t="s">
        <v>485</v>
      </c>
      <c r="D69" s="24" t="s">
        <v>486</v>
      </c>
      <c r="E69" s="23"/>
      <c r="F69" s="22"/>
      <c r="G69" s="18"/>
      <c r="H69" s="18"/>
      <c r="I69" s="18"/>
      <c r="J69" s="18">
        <f>J68+2</f>
        <v>45133</v>
      </c>
      <c r="K69" s="18">
        <f>K68+7</f>
        <v>21</v>
      </c>
      <c r="L69" s="22"/>
      <c r="M69" s="22"/>
      <c r="N69" s="22"/>
      <c r="O69" s="22" t="s">
        <v>481</v>
      </c>
      <c r="P69" s="22" t="s">
        <v>503</v>
      </c>
      <c r="Q69" s="22"/>
    </row>
    <row r="70" spans="1:17" ht="16" x14ac:dyDescent="0.2">
      <c r="A70" s="22" t="s">
        <v>502</v>
      </c>
      <c r="B70" s="23" t="s">
        <v>484</v>
      </c>
      <c r="C70" s="24" t="s">
        <v>487</v>
      </c>
      <c r="D70" s="24" t="s">
        <v>486</v>
      </c>
      <c r="E70" s="23"/>
      <c r="F70" s="22"/>
      <c r="G70" s="18"/>
      <c r="H70" s="18"/>
      <c r="I70" s="18"/>
      <c r="J70" s="18">
        <f>J69+2</f>
        <v>45135</v>
      </c>
      <c r="K70" s="18">
        <f>K69+7</f>
        <v>28</v>
      </c>
      <c r="L70" s="22"/>
      <c r="M70" s="22"/>
      <c r="N70" s="22"/>
      <c r="O70" s="22" t="s">
        <v>481</v>
      </c>
      <c r="P70" s="22" t="s">
        <v>503</v>
      </c>
      <c r="Q70" s="22"/>
    </row>
    <row r="71" spans="1:17" ht="16" x14ac:dyDescent="0.2">
      <c r="A71" s="22" t="s">
        <v>502</v>
      </c>
      <c r="B71" s="23" t="s">
        <v>484</v>
      </c>
      <c r="C71" s="24" t="s">
        <v>484</v>
      </c>
      <c r="D71" s="24" t="s">
        <v>486</v>
      </c>
      <c r="E71" s="23">
        <v>1</v>
      </c>
      <c r="F71" s="22"/>
      <c r="G71" s="18"/>
      <c r="H71" s="18"/>
      <c r="I71" s="18"/>
      <c r="J71" s="18">
        <f>J70+7</f>
        <v>45142</v>
      </c>
      <c r="K71" s="18">
        <f>K70+14</f>
        <v>42</v>
      </c>
      <c r="L71" s="22"/>
      <c r="M71" s="22"/>
      <c r="N71" s="22"/>
      <c r="O71" s="22" t="s">
        <v>481</v>
      </c>
      <c r="P71" s="22" t="s">
        <v>503</v>
      </c>
      <c r="Q71" s="22"/>
    </row>
  </sheetData>
  <autoFilter ref="A2:Q71" xr:uid="{00000000-0001-0000-00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CC32-F1AC-41E7-977B-D673DE84602F}">
  <dimension ref="A2:M128"/>
  <sheetViews>
    <sheetView zoomScale="115" zoomScaleNormal="115" workbookViewId="0">
      <selection activeCell="A14" sqref="A14"/>
    </sheetView>
  </sheetViews>
  <sheetFormatPr baseColWidth="10" defaultColWidth="8.83203125" defaultRowHeight="15" x14ac:dyDescent="0.2"/>
  <cols>
    <col min="1" max="1" width="32.6640625" customWidth="1"/>
    <col min="2" max="2" width="32.6640625" style="30" customWidth="1"/>
    <col min="3" max="3" width="55.33203125" customWidth="1"/>
    <col min="4" max="4" width="32.6640625" customWidth="1"/>
    <col min="5" max="5" width="22.5" bestFit="1" customWidth="1"/>
    <col min="6" max="6" width="20.1640625" bestFit="1" customWidth="1"/>
    <col min="7" max="7" width="21" bestFit="1" customWidth="1"/>
    <col min="8" max="8" width="13.1640625" bestFit="1" customWidth="1"/>
    <col min="9" max="9" width="20.1640625" bestFit="1" customWidth="1"/>
    <col min="10" max="10" width="26.1640625" bestFit="1" customWidth="1"/>
    <col min="11" max="11" width="11.1640625" bestFit="1" customWidth="1"/>
    <col min="12" max="12" width="9.5" bestFit="1" customWidth="1"/>
    <col min="13" max="13" width="13.83203125" customWidth="1"/>
  </cols>
  <sheetData>
    <row r="2" spans="1:13" ht="18" customHeight="1" x14ac:dyDescent="0.2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3" t="s">
        <v>5</v>
      </c>
      <c r="G2" s="3" t="s">
        <v>559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">
      <c r="A3" s="22" t="s">
        <v>560</v>
      </c>
      <c r="B3" s="23"/>
      <c r="C3" s="24"/>
      <c r="D3" s="24"/>
      <c r="E3" s="23"/>
      <c r="F3" s="22"/>
      <c r="G3" s="22"/>
      <c r="H3" s="22"/>
      <c r="I3" s="22"/>
      <c r="J3" s="22"/>
      <c r="K3" s="22"/>
      <c r="L3" s="22"/>
      <c r="M3" s="22"/>
    </row>
    <row r="4" spans="1:13" x14ac:dyDescent="0.2">
      <c r="A4" s="22" t="s">
        <v>561</v>
      </c>
      <c r="B4" s="23"/>
      <c r="C4" s="24"/>
      <c r="D4" s="24"/>
      <c r="E4" s="23"/>
      <c r="F4" s="22"/>
      <c r="G4" s="22"/>
      <c r="H4" s="22"/>
      <c r="I4" s="22"/>
      <c r="J4" s="22"/>
      <c r="K4" s="22"/>
      <c r="L4" s="22"/>
      <c r="M4" s="22"/>
    </row>
    <row r="5" spans="1:13" x14ac:dyDescent="0.2">
      <c r="A5" s="22" t="s">
        <v>562</v>
      </c>
      <c r="B5" s="23"/>
      <c r="C5" s="24"/>
      <c r="D5" s="24"/>
      <c r="E5" s="23"/>
      <c r="F5" s="22"/>
      <c r="G5" s="22"/>
      <c r="H5" s="22"/>
      <c r="I5" s="22"/>
      <c r="J5" s="22"/>
      <c r="K5" s="22"/>
      <c r="L5" s="22"/>
      <c r="M5" s="22"/>
    </row>
    <row r="6" spans="1:13" x14ac:dyDescent="0.2">
      <c r="A6" s="22" t="s">
        <v>563</v>
      </c>
      <c r="B6" s="23"/>
      <c r="C6" s="24"/>
      <c r="D6" s="24"/>
      <c r="E6" s="23"/>
      <c r="F6" s="22"/>
      <c r="G6" s="22"/>
      <c r="H6" s="22"/>
      <c r="I6" s="22"/>
      <c r="J6" s="22"/>
      <c r="K6" s="22"/>
      <c r="L6" s="22"/>
      <c r="M6" s="22"/>
    </row>
    <row r="7" spans="1:13" x14ac:dyDescent="0.2">
      <c r="A7" s="22" t="s">
        <v>564</v>
      </c>
      <c r="B7" s="23"/>
      <c r="C7" s="24"/>
      <c r="D7" s="24"/>
      <c r="E7" s="23"/>
      <c r="F7" s="22"/>
      <c r="G7" s="22"/>
      <c r="H7" s="22"/>
      <c r="I7" s="22"/>
      <c r="J7" s="22"/>
      <c r="K7" s="22"/>
      <c r="L7" s="22"/>
      <c r="M7" s="22"/>
    </row>
    <row r="8" spans="1:13" x14ac:dyDescent="0.2">
      <c r="A8" s="22" t="s">
        <v>565</v>
      </c>
      <c r="B8" s="23"/>
      <c r="C8" s="24"/>
      <c r="D8" s="24"/>
      <c r="E8" s="23"/>
      <c r="F8" s="22"/>
      <c r="G8" s="22"/>
      <c r="H8" s="22"/>
      <c r="I8" s="22"/>
      <c r="J8" s="22"/>
      <c r="K8" s="22"/>
      <c r="L8" s="22"/>
      <c r="M8" s="22"/>
    </row>
    <row r="9" spans="1:13" x14ac:dyDescent="0.2">
      <c r="A9" s="22" t="s">
        <v>566</v>
      </c>
      <c r="B9" s="23"/>
      <c r="C9" s="24"/>
      <c r="D9" s="24"/>
      <c r="E9" s="23"/>
      <c r="F9" s="22"/>
      <c r="G9" s="22"/>
      <c r="H9" s="22"/>
      <c r="I9" s="22"/>
      <c r="J9" s="22"/>
      <c r="K9" s="22"/>
      <c r="L9" s="22"/>
      <c r="M9" s="22"/>
    </row>
    <row r="10" spans="1:13" x14ac:dyDescent="0.2">
      <c r="A10" s="22" t="s">
        <v>567</v>
      </c>
      <c r="B10" s="23"/>
      <c r="C10" s="24"/>
      <c r="D10" s="24"/>
      <c r="E10" s="23"/>
      <c r="F10" s="22"/>
      <c r="G10" s="22"/>
      <c r="H10" s="22"/>
      <c r="I10" s="22"/>
      <c r="J10" s="22"/>
      <c r="K10" s="22"/>
      <c r="L10" s="22"/>
      <c r="M10" s="22"/>
    </row>
    <row r="11" spans="1:13" x14ac:dyDescent="0.2">
      <c r="A11" s="22" t="s">
        <v>568</v>
      </c>
      <c r="B11" s="23"/>
      <c r="C11" s="24"/>
      <c r="D11" s="24"/>
      <c r="E11" s="23"/>
      <c r="F11" s="22"/>
      <c r="G11" s="22"/>
      <c r="H11" s="22"/>
      <c r="I11" s="22"/>
      <c r="J11" s="22"/>
      <c r="K11" s="22"/>
      <c r="L11" s="22"/>
      <c r="M11" s="22"/>
    </row>
    <row r="12" spans="1:13" x14ac:dyDescent="0.2">
      <c r="A12" s="22" t="s">
        <v>569</v>
      </c>
      <c r="B12" s="23"/>
      <c r="C12" s="24"/>
      <c r="D12" s="24"/>
      <c r="E12" s="25"/>
      <c r="F12" s="22"/>
      <c r="G12" s="22"/>
      <c r="H12" s="22"/>
      <c r="I12" s="22"/>
      <c r="J12" s="22"/>
      <c r="K12" s="22"/>
      <c r="L12" s="22"/>
      <c r="M12" s="22"/>
    </row>
    <row r="13" spans="1:13" x14ac:dyDescent="0.2">
      <c r="A13" s="22" t="s">
        <v>570</v>
      </c>
      <c r="B13" s="23"/>
      <c r="C13" s="24"/>
      <c r="D13" s="24"/>
      <c r="E13" s="25"/>
      <c r="F13" s="22"/>
      <c r="G13" s="22"/>
      <c r="H13" s="22"/>
      <c r="I13" s="22"/>
      <c r="J13" s="22"/>
      <c r="K13" s="22"/>
      <c r="L13" s="22"/>
      <c r="M13" s="22"/>
    </row>
    <row r="14" spans="1:13" x14ac:dyDescent="0.2">
      <c r="A14" s="22" t="s">
        <v>571</v>
      </c>
      <c r="B14" s="23"/>
      <c r="C14" s="24"/>
      <c r="D14" s="24"/>
      <c r="E14" s="23"/>
      <c r="F14" s="22"/>
      <c r="G14" s="22"/>
      <c r="H14" s="22"/>
      <c r="I14" s="22"/>
      <c r="J14" s="22"/>
      <c r="K14" s="22"/>
      <c r="L14" s="22"/>
      <c r="M14" s="22"/>
    </row>
    <row r="15" spans="1:13" x14ac:dyDescent="0.2">
      <c r="A15" s="22"/>
      <c r="B15" s="23"/>
      <c r="C15" s="24"/>
      <c r="D15" s="24"/>
      <c r="E15" s="23"/>
      <c r="F15" s="22"/>
      <c r="G15" s="22"/>
      <c r="H15" s="22"/>
      <c r="I15" s="22"/>
      <c r="J15" s="22"/>
      <c r="K15" s="22"/>
      <c r="L15" s="22"/>
      <c r="M15" s="22"/>
    </row>
    <row r="16" spans="1:13" x14ac:dyDescent="0.2">
      <c r="A16" s="22"/>
      <c r="B16" s="23"/>
      <c r="C16" s="24"/>
      <c r="D16" s="24"/>
      <c r="E16" s="23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3"/>
      <c r="C17" s="24"/>
      <c r="D17" s="24"/>
      <c r="E17" s="23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3"/>
      <c r="C18" s="24"/>
      <c r="D18" s="24"/>
      <c r="E18" s="23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3"/>
      <c r="C19" s="24"/>
      <c r="D19" s="24"/>
      <c r="E19" s="23"/>
      <c r="F19" s="22"/>
      <c r="G19" s="22"/>
      <c r="H19" s="22"/>
      <c r="I19" s="22"/>
      <c r="J19" s="22"/>
      <c r="K19" s="22"/>
      <c r="L19" s="22"/>
      <c r="M19" s="22"/>
    </row>
    <row r="20" spans="1:13" x14ac:dyDescent="0.2">
      <c r="A20" s="22"/>
      <c r="B20" s="23"/>
      <c r="C20" s="24"/>
      <c r="D20" s="24"/>
      <c r="E20" s="23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3"/>
      <c r="C21" s="24"/>
      <c r="D21" s="24"/>
      <c r="E21" s="23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3"/>
      <c r="C22" s="24"/>
      <c r="D22" s="24"/>
      <c r="E22" s="23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3"/>
      <c r="C23" s="24"/>
      <c r="D23" s="24"/>
      <c r="E23" s="23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3"/>
      <c r="C24" s="24"/>
      <c r="D24" s="24"/>
      <c r="E24" s="23"/>
      <c r="F24" s="22"/>
      <c r="G24" s="22"/>
      <c r="H24" s="22"/>
      <c r="I24" s="22"/>
      <c r="J24" s="22"/>
      <c r="K24" s="22"/>
      <c r="L24" s="22"/>
      <c r="M24" s="22"/>
    </row>
    <row r="25" spans="1:13" x14ac:dyDescent="0.2">
      <c r="A25" s="22"/>
      <c r="B25" s="23"/>
      <c r="C25" s="24"/>
      <c r="D25" s="24"/>
      <c r="E25" s="23"/>
      <c r="F25" s="22"/>
      <c r="G25" s="22"/>
      <c r="H25" s="22"/>
      <c r="I25" s="22"/>
      <c r="J25" s="22"/>
      <c r="K25" s="22"/>
      <c r="L25" s="22"/>
      <c r="M25" s="22"/>
    </row>
    <row r="26" spans="1:13" x14ac:dyDescent="0.2">
      <c r="A26" s="22"/>
      <c r="B26" s="23"/>
      <c r="C26" s="24"/>
      <c r="D26" s="24"/>
      <c r="E26" s="25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3"/>
      <c r="C27" s="24"/>
      <c r="D27" s="24"/>
      <c r="E27" s="25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3"/>
      <c r="C28" s="24"/>
      <c r="D28" s="24"/>
      <c r="E28" s="23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3"/>
      <c r="C29" s="24"/>
      <c r="D29" s="24"/>
      <c r="E29" s="23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3"/>
      <c r="C30" s="24"/>
      <c r="D30" s="24"/>
      <c r="E30" s="23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6"/>
      <c r="C31" s="24"/>
      <c r="D31" s="24"/>
      <c r="E31" s="23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6"/>
      <c r="C32" s="24"/>
      <c r="D32" s="24"/>
      <c r="E32" s="23"/>
      <c r="F32" s="22"/>
      <c r="G32" s="22"/>
      <c r="H32" s="22"/>
      <c r="I32" s="22"/>
      <c r="J32" s="22"/>
      <c r="K32" s="22"/>
      <c r="L32" s="22"/>
      <c r="M32" s="22"/>
    </row>
    <row r="33" spans="1:13" x14ac:dyDescent="0.2">
      <c r="A33" s="22"/>
      <c r="B33" s="26"/>
      <c r="C33" s="24"/>
      <c r="D33" s="24"/>
      <c r="E33" s="23"/>
      <c r="F33" s="22"/>
      <c r="G33" s="22"/>
      <c r="H33" s="22"/>
      <c r="I33" s="22"/>
      <c r="J33" s="22"/>
      <c r="K33" s="22"/>
      <c r="L33" s="22"/>
      <c r="M33" s="22"/>
    </row>
    <row r="34" spans="1:13" x14ac:dyDescent="0.2">
      <c r="A34" s="22"/>
      <c r="B34" s="26"/>
      <c r="C34" s="24"/>
      <c r="D34" s="24"/>
      <c r="E34" s="23"/>
      <c r="F34" s="22"/>
      <c r="G34" s="22"/>
      <c r="H34" s="22"/>
      <c r="I34" s="22"/>
      <c r="J34" s="22"/>
      <c r="K34" s="22"/>
      <c r="L34" s="22"/>
      <c r="M34" s="22"/>
    </row>
    <row r="35" spans="1:13" x14ac:dyDescent="0.2">
      <c r="A35" s="22"/>
      <c r="B35" s="26"/>
      <c r="C35" s="24"/>
      <c r="D35" s="24"/>
      <c r="E35" s="23"/>
      <c r="F35" s="22"/>
      <c r="G35" s="22"/>
      <c r="H35" s="22"/>
      <c r="I35" s="22"/>
      <c r="J35" s="22"/>
      <c r="K35" s="22"/>
      <c r="L35" s="22"/>
      <c r="M35" s="22"/>
    </row>
    <row r="36" spans="1:13" x14ac:dyDescent="0.2">
      <c r="A36" s="22"/>
      <c r="B36" s="26"/>
      <c r="C36" s="24"/>
      <c r="D36" s="24"/>
      <c r="E36" s="23"/>
      <c r="F36" s="22"/>
      <c r="G36" s="22"/>
      <c r="H36" s="22"/>
      <c r="I36" s="22"/>
      <c r="J36" s="22"/>
      <c r="K36" s="22"/>
      <c r="L36" s="22"/>
      <c r="M36" s="22"/>
    </row>
    <row r="37" spans="1:13" x14ac:dyDescent="0.2">
      <c r="A37" s="22"/>
      <c r="B37" s="26"/>
      <c r="C37" s="24"/>
      <c r="D37" s="24"/>
      <c r="E37" s="23"/>
      <c r="F37" s="22"/>
      <c r="G37" s="22"/>
      <c r="H37" s="22"/>
      <c r="I37" s="22"/>
      <c r="J37" s="22"/>
      <c r="K37" s="22"/>
      <c r="L37" s="22"/>
      <c r="M37" s="22"/>
    </row>
    <row r="38" spans="1:13" x14ac:dyDescent="0.2">
      <c r="A38" s="22"/>
      <c r="B38" s="26"/>
      <c r="C38" s="24"/>
      <c r="D38" s="24"/>
      <c r="E38" s="23"/>
      <c r="F38" s="22"/>
      <c r="G38" s="22"/>
      <c r="H38" s="22"/>
      <c r="I38" s="22"/>
      <c r="J38" s="22"/>
      <c r="K38" s="22"/>
      <c r="L38" s="22"/>
      <c r="M38" s="22"/>
    </row>
    <row r="39" spans="1:13" x14ac:dyDescent="0.2">
      <c r="A39" s="22"/>
      <c r="B39" s="26"/>
      <c r="C39" s="24"/>
      <c r="D39" s="24"/>
      <c r="E39" s="23"/>
      <c r="F39" s="22"/>
      <c r="G39" s="22"/>
      <c r="H39" s="22"/>
      <c r="I39" s="22"/>
      <c r="J39" s="22"/>
      <c r="K39" s="22"/>
      <c r="L39" s="22"/>
      <c r="M39" s="22"/>
    </row>
    <row r="40" spans="1:13" x14ac:dyDescent="0.2">
      <c r="A40" s="22"/>
      <c r="B40" s="26"/>
      <c r="C40" s="24"/>
      <c r="D40" s="24"/>
      <c r="E40" s="23"/>
      <c r="F40" s="22"/>
      <c r="G40" s="22"/>
      <c r="H40" s="22"/>
      <c r="I40" s="22"/>
      <c r="J40" s="22"/>
      <c r="K40" s="22"/>
      <c r="L40" s="22"/>
      <c r="M40" s="22"/>
    </row>
    <row r="41" spans="1:13" x14ac:dyDescent="0.2">
      <c r="A41" s="22"/>
      <c r="B41" s="26"/>
      <c r="C41" s="24"/>
      <c r="D41" s="24"/>
      <c r="E41" s="23"/>
      <c r="F41" s="22"/>
      <c r="G41" s="22"/>
      <c r="H41" s="22"/>
      <c r="I41" s="22"/>
      <c r="J41" s="22"/>
      <c r="K41" s="22"/>
      <c r="L41" s="22"/>
      <c r="M41" s="22"/>
    </row>
    <row r="42" spans="1:13" x14ac:dyDescent="0.2">
      <c r="A42" s="22"/>
      <c r="B42" s="26"/>
      <c r="C42" s="24"/>
      <c r="D42" s="24"/>
      <c r="E42" s="23"/>
      <c r="F42" s="22"/>
      <c r="G42" s="22"/>
      <c r="H42" s="22"/>
      <c r="I42" s="22"/>
      <c r="J42" s="22"/>
      <c r="K42" s="22"/>
      <c r="L42" s="22"/>
      <c r="M42" s="22"/>
    </row>
    <row r="43" spans="1:13" x14ac:dyDescent="0.2">
      <c r="A43" s="22"/>
      <c r="B43" s="26"/>
      <c r="C43" s="24"/>
      <c r="D43" s="24"/>
      <c r="E43" s="23"/>
      <c r="F43" s="22"/>
      <c r="G43" s="22"/>
      <c r="H43" s="22"/>
      <c r="I43" s="22"/>
      <c r="J43" s="22"/>
      <c r="K43" s="22"/>
      <c r="L43" s="22"/>
      <c r="M43" s="22"/>
    </row>
    <row r="44" spans="1:13" x14ac:dyDescent="0.2">
      <c r="A44" s="22"/>
      <c r="B44" s="23"/>
      <c r="C44" s="24"/>
      <c r="D44" s="24"/>
      <c r="E44" s="23"/>
      <c r="F44" s="22"/>
      <c r="G44" s="22"/>
      <c r="H44" s="22"/>
      <c r="I44" s="22"/>
      <c r="J44" s="22"/>
      <c r="K44" s="22"/>
      <c r="L44" s="22"/>
      <c r="M44" s="22"/>
    </row>
    <row r="45" spans="1:13" x14ac:dyDescent="0.2">
      <c r="A45" s="22"/>
      <c r="B45" s="26"/>
      <c r="C45" s="24"/>
      <c r="D45" s="24"/>
      <c r="E45" s="23"/>
      <c r="F45" s="22"/>
      <c r="G45" s="22"/>
      <c r="H45" s="22"/>
      <c r="I45" s="22"/>
      <c r="J45" s="22"/>
      <c r="K45" s="22"/>
      <c r="L45" s="22"/>
      <c r="M45" s="22"/>
    </row>
    <row r="46" spans="1:13" x14ac:dyDescent="0.2">
      <c r="A46" s="22"/>
      <c r="B46" s="26"/>
      <c r="C46" s="24"/>
      <c r="E46" s="23"/>
      <c r="F46" s="22"/>
      <c r="G46" s="22"/>
      <c r="H46" s="22"/>
      <c r="I46" s="22"/>
      <c r="J46" s="22"/>
      <c r="K46" s="22"/>
      <c r="L46" s="22"/>
      <c r="M46" s="22"/>
    </row>
    <row r="47" spans="1:13" x14ac:dyDescent="0.2">
      <c r="A47" s="22"/>
      <c r="B47" s="26"/>
      <c r="C47" s="24"/>
      <c r="D47" s="24"/>
      <c r="E47" s="23"/>
      <c r="F47" s="22"/>
      <c r="G47" s="22"/>
      <c r="H47" s="22"/>
      <c r="I47" s="22"/>
      <c r="J47" s="22"/>
      <c r="K47" s="22"/>
      <c r="L47" s="22"/>
      <c r="M47" s="22"/>
    </row>
    <row r="48" spans="1:13" x14ac:dyDescent="0.2">
      <c r="A48" s="22"/>
      <c r="B48" s="26"/>
      <c r="C48" s="24"/>
      <c r="D48" s="24"/>
      <c r="E48" s="23"/>
      <c r="F48" s="22"/>
      <c r="G48" s="22"/>
      <c r="H48" s="22"/>
      <c r="I48" s="22"/>
      <c r="J48" s="22"/>
      <c r="K48" s="22"/>
      <c r="L48" s="22"/>
      <c r="M48" s="22"/>
    </row>
    <row r="49" spans="1:13" x14ac:dyDescent="0.2">
      <c r="A49" s="22"/>
      <c r="B49" s="26"/>
      <c r="C49" s="20"/>
      <c r="D49" s="24"/>
      <c r="E49" s="23"/>
      <c r="F49" s="22"/>
      <c r="G49" s="22"/>
      <c r="H49" s="22"/>
      <c r="I49" s="22"/>
      <c r="J49" s="22"/>
      <c r="K49" s="22"/>
      <c r="L49" s="22"/>
      <c r="M49" s="22"/>
    </row>
    <row r="50" spans="1:13" x14ac:dyDescent="0.2">
      <c r="A50" s="22"/>
      <c r="B50" s="26"/>
      <c r="C50" s="20"/>
      <c r="D50" s="24"/>
      <c r="E50" s="23"/>
      <c r="F50" s="22"/>
      <c r="G50" s="22"/>
      <c r="H50" s="22"/>
      <c r="I50" s="22"/>
      <c r="J50" s="22"/>
      <c r="K50" s="22"/>
      <c r="L50" s="22"/>
      <c r="M50" s="22"/>
    </row>
    <row r="51" spans="1:13" x14ac:dyDescent="0.2">
      <c r="A51" s="22"/>
      <c r="B51" s="26"/>
      <c r="C51" s="20"/>
      <c r="D51" s="24"/>
      <c r="E51" s="23"/>
      <c r="F51" s="22"/>
      <c r="G51" s="22"/>
      <c r="H51" s="22"/>
      <c r="I51" s="22"/>
      <c r="J51" s="22"/>
      <c r="K51" s="22"/>
      <c r="L51" s="22"/>
      <c r="M51" s="22"/>
    </row>
    <row r="52" spans="1:13" x14ac:dyDescent="0.2">
      <c r="A52" s="22"/>
      <c r="B52" s="26"/>
      <c r="C52" s="20"/>
      <c r="D52" s="24"/>
      <c r="E52" s="23"/>
      <c r="F52" s="22"/>
      <c r="G52" s="22"/>
      <c r="H52" s="22"/>
      <c r="I52" s="22"/>
      <c r="J52" s="22"/>
      <c r="K52" s="22"/>
      <c r="L52" s="22"/>
      <c r="M52" s="22"/>
    </row>
    <row r="53" spans="1:13" x14ac:dyDescent="0.2">
      <c r="A53" s="22"/>
      <c r="B53" s="26"/>
      <c r="C53" s="20"/>
      <c r="D53" s="24"/>
      <c r="E53" s="23"/>
      <c r="F53" s="22"/>
      <c r="G53" s="22"/>
      <c r="H53" s="22"/>
      <c r="I53" s="22"/>
      <c r="J53" s="22"/>
      <c r="K53" s="22"/>
      <c r="L53" s="22"/>
      <c r="M53" s="22"/>
    </row>
    <row r="54" spans="1:13" x14ac:dyDescent="0.2">
      <c r="A54" s="22"/>
      <c r="B54" s="26"/>
      <c r="C54" s="40"/>
      <c r="D54" s="24"/>
      <c r="E54" s="23"/>
      <c r="F54" s="22"/>
      <c r="G54" s="22"/>
      <c r="H54" s="22"/>
      <c r="I54" s="22"/>
      <c r="J54" s="22"/>
      <c r="K54" s="22"/>
      <c r="L54" s="22"/>
      <c r="M54" s="22"/>
    </row>
    <row r="55" spans="1:13" x14ac:dyDescent="0.2">
      <c r="A55" s="22"/>
      <c r="B55" s="26"/>
      <c r="C55" s="20"/>
      <c r="D55" s="24"/>
      <c r="E55" s="23"/>
      <c r="F55" s="22"/>
      <c r="G55" s="22"/>
      <c r="H55" s="22"/>
      <c r="I55" s="22"/>
      <c r="J55" s="22"/>
      <c r="K55" s="22"/>
      <c r="L55" s="22"/>
      <c r="M55" s="22"/>
    </row>
    <row r="56" spans="1:13" x14ac:dyDescent="0.2">
      <c r="A56" s="22"/>
      <c r="B56" s="26"/>
      <c r="C56" s="29"/>
      <c r="D56" s="24"/>
      <c r="E56" s="23"/>
      <c r="F56" s="22"/>
      <c r="G56" s="22"/>
      <c r="H56" s="22"/>
      <c r="I56" s="22"/>
      <c r="J56" s="22"/>
      <c r="K56" s="22"/>
      <c r="L56" s="22"/>
      <c r="M56" s="22"/>
    </row>
    <row r="57" spans="1:13" x14ac:dyDescent="0.2">
      <c r="A57" s="22"/>
      <c r="B57" s="26"/>
      <c r="C57" s="20"/>
      <c r="D57" s="24"/>
      <c r="E57" s="23"/>
      <c r="F57" s="22"/>
      <c r="G57" s="22"/>
      <c r="H57" s="22"/>
      <c r="I57" s="22"/>
      <c r="J57" s="22"/>
      <c r="K57" s="22"/>
      <c r="L57" s="22"/>
      <c r="M57" s="22"/>
    </row>
    <row r="58" spans="1:13" x14ac:dyDescent="0.2">
      <c r="A58" s="22"/>
      <c r="B58" s="26"/>
      <c r="C58" s="24"/>
      <c r="D58" s="24"/>
      <c r="E58" s="23"/>
      <c r="F58" s="22"/>
      <c r="G58" s="22"/>
      <c r="H58" s="22"/>
      <c r="I58" s="22"/>
      <c r="J58" s="22"/>
      <c r="K58" s="22"/>
      <c r="L58" s="22"/>
      <c r="M58" s="22"/>
    </row>
    <row r="59" spans="1:13" x14ac:dyDescent="0.2">
      <c r="A59" s="22"/>
      <c r="B59" s="26"/>
      <c r="C59" s="41"/>
      <c r="D59" s="24"/>
      <c r="E59" s="23"/>
      <c r="F59" s="22"/>
      <c r="G59" s="22"/>
      <c r="H59" s="22"/>
      <c r="I59" s="22"/>
      <c r="J59" s="22"/>
      <c r="K59" s="22"/>
      <c r="L59" s="22"/>
      <c r="M59" s="22"/>
    </row>
    <row r="60" spans="1:13" x14ac:dyDescent="0.2">
      <c r="A60" s="22"/>
      <c r="B60" s="26"/>
      <c r="C60" s="24"/>
      <c r="D60" s="24"/>
      <c r="E60" s="23"/>
      <c r="F60" s="22"/>
      <c r="G60" s="22"/>
      <c r="H60" s="22"/>
      <c r="I60" s="22"/>
      <c r="J60" s="22"/>
      <c r="K60" s="22"/>
      <c r="L60" s="22"/>
      <c r="M60" s="22"/>
    </row>
    <row r="61" spans="1:13" x14ac:dyDescent="0.2">
      <c r="A61" s="22"/>
      <c r="B61" s="26"/>
      <c r="C61" s="42"/>
      <c r="D61" s="24"/>
      <c r="E61" s="23"/>
      <c r="F61" s="22"/>
      <c r="G61" s="22"/>
      <c r="H61" s="22"/>
      <c r="I61" s="22"/>
      <c r="J61" s="22"/>
      <c r="K61" s="22"/>
      <c r="L61" s="22"/>
      <c r="M61" s="22"/>
    </row>
    <row r="62" spans="1:13" x14ac:dyDescent="0.2">
      <c r="A62" s="22"/>
      <c r="B62" s="26"/>
      <c r="C62" s="24"/>
      <c r="D62" s="24"/>
      <c r="E62" s="23"/>
      <c r="F62" s="22"/>
      <c r="G62" s="22"/>
      <c r="H62" s="22"/>
      <c r="I62" s="22"/>
      <c r="J62" s="22"/>
      <c r="K62" s="22"/>
      <c r="L62" s="22"/>
      <c r="M62" s="22"/>
    </row>
    <row r="63" spans="1:13" x14ac:dyDescent="0.2">
      <c r="A63" s="22"/>
      <c r="B63" s="26"/>
      <c r="C63" s="24"/>
      <c r="D63" s="24"/>
      <c r="E63" s="23"/>
      <c r="F63" s="22"/>
      <c r="G63" s="22"/>
      <c r="H63" s="22"/>
      <c r="I63" s="22"/>
      <c r="J63" s="22"/>
      <c r="K63" s="22"/>
      <c r="L63" s="22"/>
      <c r="M63" s="22"/>
    </row>
    <row r="64" spans="1:13" x14ac:dyDescent="0.2">
      <c r="A64" s="22"/>
      <c r="B64" s="26"/>
      <c r="C64" s="24"/>
      <c r="D64" s="24"/>
      <c r="E64" s="23"/>
      <c r="F64" s="22"/>
      <c r="G64" s="22"/>
      <c r="H64" s="22"/>
      <c r="I64" s="22"/>
      <c r="J64" s="22"/>
      <c r="K64" s="22"/>
      <c r="L64" s="22"/>
      <c r="M64" s="22"/>
    </row>
    <row r="65" spans="1:13" x14ac:dyDescent="0.2">
      <c r="A65" s="22"/>
      <c r="B65" s="27"/>
      <c r="C65" s="20"/>
      <c r="D65" s="24"/>
      <c r="E65" s="23"/>
      <c r="F65" s="22"/>
      <c r="G65" s="22"/>
      <c r="H65" s="22"/>
      <c r="I65" s="22"/>
      <c r="J65" s="22"/>
      <c r="K65" s="22"/>
      <c r="L65" s="22"/>
      <c r="M65" s="22"/>
    </row>
    <row r="66" spans="1:13" x14ac:dyDescent="0.2">
      <c r="A66" s="22"/>
      <c r="B66" s="27"/>
      <c r="C66" s="20"/>
      <c r="D66" s="24"/>
      <c r="E66" s="23"/>
      <c r="F66" s="22"/>
      <c r="G66" s="22"/>
      <c r="H66" s="22"/>
      <c r="I66" s="22"/>
      <c r="J66" s="22"/>
      <c r="K66" s="22"/>
      <c r="L66" s="22"/>
      <c r="M66" s="22"/>
    </row>
    <row r="67" spans="1:13" x14ac:dyDescent="0.2">
      <c r="A67" s="22"/>
      <c r="B67" s="27"/>
      <c r="C67" s="20"/>
      <c r="D67" s="24"/>
      <c r="E67" s="23"/>
      <c r="F67" s="22"/>
      <c r="G67" s="22"/>
      <c r="H67" s="22"/>
      <c r="I67" s="22"/>
      <c r="J67" s="22"/>
      <c r="K67" s="22"/>
      <c r="L67" s="22"/>
      <c r="M67" s="22"/>
    </row>
    <row r="68" spans="1:13" x14ac:dyDescent="0.2">
      <c r="A68" s="22"/>
      <c r="B68" s="27"/>
      <c r="C68" s="20"/>
      <c r="D68" s="24"/>
      <c r="E68" s="23"/>
      <c r="F68" s="22"/>
      <c r="G68" s="22"/>
      <c r="H68" s="22"/>
      <c r="I68" s="22"/>
      <c r="J68" s="22"/>
      <c r="K68" s="22"/>
      <c r="L68" s="22"/>
      <c r="M68" s="22"/>
    </row>
    <row r="69" spans="1:13" x14ac:dyDescent="0.2">
      <c r="A69" s="22"/>
      <c r="B69" s="27"/>
      <c r="C69" s="20"/>
      <c r="D69" s="24"/>
      <c r="E69" s="23"/>
      <c r="F69" s="22"/>
      <c r="G69" s="22"/>
      <c r="H69" s="22"/>
      <c r="I69" s="22"/>
      <c r="J69" s="22"/>
      <c r="K69" s="22"/>
      <c r="L69" s="22"/>
      <c r="M69" s="22"/>
    </row>
    <row r="70" spans="1:13" x14ac:dyDescent="0.2">
      <c r="A70" s="22"/>
      <c r="B70" s="27"/>
      <c r="C70" s="20"/>
      <c r="D70" s="24"/>
      <c r="E70" s="23"/>
      <c r="F70" s="22"/>
      <c r="G70" s="22"/>
      <c r="H70" s="22"/>
      <c r="I70" s="22"/>
      <c r="J70" s="22"/>
      <c r="K70" s="22"/>
      <c r="L70" s="22"/>
      <c r="M70" s="22"/>
    </row>
    <row r="71" spans="1:13" x14ac:dyDescent="0.2">
      <c r="A71" s="22"/>
      <c r="B71" s="27"/>
      <c r="C71" s="20"/>
      <c r="D71" s="24"/>
      <c r="E71" s="23"/>
      <c r="F71" s="22"/>
      <c r="G71" s="22"/>
      <c r="H71" s="22"/>
      <c r="I71" s="22"/>
      <c r="J71" s="22"/>
      <c r="K71" s="22"/>
      <c r="L71" s="22"/>
      <c r="M71" s="22"/>
    </row>
    <row r="72" spans="1:13" x14ac:dyDescent="0.2">
      <c r="A72" s="22"/>
      <c r="B72" s="27"/>
      <c r="C72" s="20"/>
      <c r="D72" s="24"/>
      <c r="E72" s="23"/>
      <c r="F72" s="22"/>
      <c r="G72" s="22"/>
      <c r="H72" s="22"/>
      <c r="I72" s="22"/>
      <c r="J72" s="22"/>
      <c r="K72" s="22"/>
      <c r="L72" s="22"/>
      <c r="M72" s="22"/>
    </row>
    <row r="73" spans="1:13" x14ac:dyDescent="0.2">
      <c r="A73" s="22"/>
      <c r="B73" s="27"/>
      <c r="C73" s="20"/>
      <c r="D73" s="24"/>
      <c r="E73" s="23"/>
      <c r="F73" s="22"/>
      <c r="G73" s="22"/>
      <c r="H73" s="22"/>
      <c r="I73" s="22"/>
      <c r="J73" s="22"/>
      <c r="K73" s="22"/>
      <c r="L73" s="22"/>
      <c r="M73" s="22"/>
    </row>
    <row r="74" spans="1:13" x14ac:dyDescent="0.2">
      <c r="A74" s="22"/>
      <c r="B74" s="27"/>
      <c r="C74" s="20"/>
      <c r="D74" s="24"/>
      <c r="E74" s="23"/>
      <c r="F74" s="22"/>
      <c r="G74" s="22"/>
      <c r="H74" s="22"/>
      <c r="I74" s="22"/>
      <c r="J74" s="22"/>
      <c r="K74" s="22"/>
      <c r="L74" s="22"/>
      <c r="M74" s="22"/>
    </row>
    <row r="75" spans="1:13" x14ac:dyDescent="0.2">
      <c r="A75" s="22"/>
      <c r="B75" s="27"/>
      <c r="C75" s="20"/>
      <c r="D75" s="24"/>
      <c r="E75" s="23"/>
      <c r="F75" s="22"/>
      <c r="G75" s="22"/>
      <c r="H75" s="22"/>
      <c r="I75" s="22"/>
      <c r="J75" s="22"/>
      <c r="K75" s="22"/>
      <c r="L75" s="22"/>
      <c r="M75" s="22"/>
    </row>
    <row r="76" spans="1:13" x14ac:dyDescent="0.2">
      <c r="A76" s="22"/>
      <c r="B76" s="27"/>
      <c r="C76" s="20"/>
      <c r="D76" s="24"/>
      <c r="E76" s="23"/>
      <c r="F76" s="22"/>
      <c r="G76" s="22"/>
      <c r="H76" s="22"/>
      <c r="I76" s="22"/>
      <c r="J76" s="22"/>
      <c r="K76" s="22"/>
      <c r="L76" s="22"/>
      <c r="M76" s="22"/>
    </row>
    <row r="77" spans="1:13" x14ac:dyDescent="0.2">
      <c r="A77" s="22"/>
      <c r="B77" s="27"/>
      <c r="C77" s="20"/>
      <c r="D77" s="24"/>
      <c r="E77" s="23"/>
      <c r="F77" s="22"/>
      <c r="G77" s="22"/>
      <c r="H77" s="22"/>
      <c r="I77" s="22"/>
      <c r="J77" s="22"/>
      <c r="K77" s="22"/>
      <c r="L77" s="22"/>
      <c r="M77" s="22"/>
    </row>
    <row r="78" spans="1:13" x14ac:dyDescent="0.2">
      <c r="A78" s="22"/>
      <c r="B78" s="27"/>
      <c r="C78" s="20"/>
      <c r="D78" s="24"/>
      <c r="E78" s="23"/>
      <c r="F78" s="22"/>
      <c r="G78" s="22"/>
      <c r="H78" s="22"/>
      <c r="I78" s="22"/>
      <c r="J78" s="22"/>
      <c r="K78" s="22"/>
      <c r="L78" s="22"/>
      <c r="M78" s="22"/>
    </row>
    <row r="79" spans="1:13" x14ac:dyDescent="0.2">
      <c r="A79" s="22"/>
      <c r="B79" s="27"/>
      <c r="C79" s="20"/>
      <c r="D79" s="24"/>
      <c r="E79" s="22"/>
      <c r="F79" s="22"/>
      <c r="G79" s="22"/>
      <c r="H79" s="22"/>
      <c r="I79" s="22"/>
      <c r="J79" s="22"/>
      <c r="K79" s="22"/>
      <c r="L79" s="22"/>
      <c r="M79" s="22"/>
    </row>
    <row r="80" spans="1:13" x14ac:dyDescent="0.2">
      <c r="A80" s="22"/>
      <c r="B80" s="28"/>
      <c r="C80" s="20"/>
      <c r="D80" s="24"/>
      <c r="E80" s="22"/>
      <c r="F80" s="22"/>
      <c r="G80" s="22"/>
      <c r="H80" s="22"/>
      <c r="I80" s="22"/>
      <c r="J80" s="22"/>
      <c r="K80" s="22"/>
      <c r="L80" s="22"/>
      <c r="M80" s="22"/>
    </row>
    <row r="81" spans="1:13" x14ac:dyDescent="0.2">
      <c r="A81" s="22"/>
      <c r="B81" s="27"/>
      <c r="C81" s="20"/>
      <c r="D81" s="24"/>
      <c r="E81" s="22"/>
      <c r="F81" s="22"/>
      <c r="G81" s="22"/>
      <c r="H81" s="22"/>
      <c r="I81" s="22"/>
      <c r="J81" s="22"/>
      <c r="K81" s="22"/>
      <c r="L81" s="22"/>
      <c r="M81" s="22"/>
    </row>
    <row r="82" spans="1:13" x14ac:dyDescent="0.2">
      <c r="A82" s="22"/>
      <c r="B82" s="27"/>
      <c r="C82" s="20"/>
      <c r="D82" s="24"/>
      <c r="E82" s="22"/>
      <c r="F82" s="22"/>
      <c r="G82" s="22"/>
      <c r="H82" s="22"/>
      <c r="I82" s="22"/>
      <c r="J82" s="22"/>
      <c r="K82" s="22"/>
      <c r="L82" s="22"/>
      <c r="M82" s="22"/>
    </row>
    <row r="83" spans="1:13" x14ac:dyDescent="0.2">
      <c r="A83" s="22"/>
      <c r="B83" s="27"/>
      <c r="C83" s="20"/>
      <c r="D83" s="24"/>
      <c r="E83" s="22"/>
      <c r="F83" s="22"/>
      <c r="G83" s="22"/>
      <c r="H83" s="22"/>
      <c r="I83" s="22"/>
      <c r="J83" s="22"/>
      <c r="K83" s="22"/>
      <c r="L83" s="22"/>
      <c r="M83" s="22"/>
    </row>
    <row r="84" spans="1:13" x14ac:dyDescent="0.2">
      <c r="A84" s="22"/>
      <c r="B84" s="27"/>
      <c r="C84" s="20"/>
      <c r="D84" s="24"/>
      <c r="E84" s="22"/>
      <c r="F84" s="22"/>
      <c r="G84" s="22"/>
      <c r="H84" s="22"/>
      <c r="I84" s="22"/>
      <c r="J84" s="22"/>
      <c r="K84" s="22"/>
      <c r="L84" s="22"/>
      <c r="M84" s="22"/>
    </row>
    <row r="85" spans="1:13" x14ac:dyDescent="0.2">
      <c r="A85" s="22"/>
      <c r="B85" s="27"/>
      <c r="C85" s="20"/>
      <c r="D85" s="24"/>
      <c r="E85" s="22"/>
      <c r="F85" s="22"/>
      <c r="G85" s="22"/>
      <c r="H85" s="22"/>
      <c r="I85" s="22"/>
      <c r="J85" s="22"/>
      <c r="K85" s="22"/>
      <c r="L85" s="22"/>
      <c r="M85" s="22"/>
    </row>
    <row r="86" spans="1:13" x14ac:dyDescent="0.2">
      <c r="A86" s="22"/>
      <c r="B86" s="27"/>
      <c r="C86" s="20"/>
      <c r="D86" s="24"/>
      <c r="E86" s="22"/>
      <c r="F86" s="22"/>
      <c r="G86" s="22"/>
      <c r="H86" s="22"/>
      <c r="I86" s="22"/>
      <c r="J86" s="22"/>
      <c r="K86" s="22"/>
      <c r="L86" s="22"/>
      <c r="M86" s="22"/>
    </row>
    <row r="87" spans="1:13" x14ac:dyDescent="0.2">
      <c r="A87" s="22"/>
      <c r="B87" s="22"/>
      <c r="C87" s="24"/>
      <c r="D87" s="24"/>
      <c r="E87" s="22"/>
      <c r="F87" s="22"/>
      <c r="G87" s="22"/>
      <c r="H87" s="22"/>
      <c r="I87" s="22"/>
      <c r="J87" s="22"/>
      <c r="K87" s="22"/>
      <c r="L87" s="22"/>
      <c r="M87" s="22"/>
    </row>
    <row r="88" spans="1:13" x14ac:dyDescent="0.2">
      <c r="A88" s="22"/>
      <c r="B88" s="22"/>
      <c r="C88" s="24"/>
      <c r="D88" s="24"/>
      <c r="E88" s="22"/>
      <c r="F88" s="22"/>
      <c r="G88" s="22"/>
      <c r="H88" s="22"/>
      <c r="I88" s="22"/>
      <c r="J88" s="22"/>
      <c r="K88" s="22"/>
      <c r="L88" s="22"/>
      <c r="M88" s="22"/>
    </row>
    <row r="89" spans="1:13" x14ac:dyDescent="0.2">
      <c r="A89" s="22"/>
      <c r="B89" s="22"/>
      <c r="C89" s="24"/>
      <c r="D89" s="24"/>
      <c r="E89" s="22"/>
      <c r="F89" s="22"/>
      <c r="G89" s="22"/>
      <c r="H89" s="22"/>
      <c r="I89" s="22"/>
      <c r="J89" s="22"/>
      <c r="K89" s="22"/>
      <c r="L89" s="22"/>
      <c r="M89" s="22"/>
    </row>
    <row r="90" spans="1:13" x14ac:dyDescent="0.2">
      <c r="A90" s="22"/>
      <c r="B90" s="22"/>
      <c r="C90" s="24"/>
      <c r="D90" s="24"/>
      <c r="E90" s="22"/>
      <c r="F90" s="22"/>
      <c r="G90" s="22"/>
      <c r="H90" s="22"/>
      <c r="I90" s="22"/>
      <c r="J90" s="22"/>
      <c r="K90" s="22"/>
      <c r="L90" s="22"/>
      <c r="M90" s="22"/>
    </row>
    <row r="91" spans="1:13" x14ac:dyDescent="0.2">
      <c r="A91" s="22"/>
      <c r="B91" s="22"/>
      <c r="C91" s="24"/>
      <c r="D91" s="24"/>
      <c r="E91" s="22"/>
      <c r="F91" s="22"/>
      <c r="G91" s="22"/>
      <c r="H91" s="22"/>
      <c r="I91" s="22"/>
      <c r="J91" s="22"/>
      <c r="K91" s="22"/>
      <c r="L91" s="22"/>
      <c r="M91" s="22"/>
    </row>
    <row r="92" spans="1:13" x14ac:dyDescent="0.2">
      <c r="A92" s="22"/>
      <c r="B92" s="22"/>
      <c r="C92" s="24"/>
      <c r="D92" s="24"/>
      <c r="E92" s="22"/>
      <c r="F92" s="22"/>
      <c r="G92" s="22"/>
      <c r="H92" s="22"/>
      <c r="I92" s="22"/>
      <c r="J92" s="22"/>
      <c r="K92" s="22"/>
      <c r="L92" s="22"/>
      <c r="M92" s="22"/>
    </row>
    <row r="93" spans="1:13" x14ac:dyDescent="0.2">
      <c r="A93" s="22"/>
      <c r="B93" s="22"/>
      <c r="C93" s="24"/>
      <c r="D93" s="24"/>
      <c r="E93" s="22"/>
      <c r="F93" s="22"/>
      <c r="G93" s="22"/>
      <c r="H93" s="22"/>
      <c r="I93" s="22"/>
      <c r="J93" s="22"/>
      <c r="K93" s="22"/>
      <c r="L93" s="22"/>
      <c r="M93" s="22"/>
    </row>
    <row r="94" spans="1:13" x14ac:dyDescent="0.2">
      <c r="A94" s="22"/>
      <c r="B94" s="23"/>
      <c r="C94" s="24"/>
      <c r="D94" s="24"/>
      <c r="E94" s="23"/>
      <c r="F94" s="22"/>
      <c r="G94" s="22"/>
      <c r="H94" s="22"/>
      <c r="I94" s="22"/>
      <c r="J94" s="22"/>
      <c r="K94" s="22"/>
      <c r="L94" s="22"/>
      <c r="M94" s="22"/>
    </row>
    <row r="95" spans="1:13" x14ac:dyDescent="0.2">
      <c r="A95" s="22"/>
      <c r="B95" s="23"/>
      <c r="C95" s="24"/>
      <c r="D95" s="24"/>
      <c r="E95" s="23"/>
      <c r="F95" s="22"/>
      <c r="G95" s="22"/>
      <c r="H95" s="22"/>
      <c r="I95" s="22"/>
      <c r="J95" s="22"/>
      <c r="K95" s="22"/>
      <c r="L95" s="22"/>
      <c r="M95" s="22"/>
    </row>
    <row r="96" spans="1:13" x14ac:dyDescent="0.2">
      <c r="A96" s="22"/>
      <c r="B96" s="23"/>
      <c r="C96" s="24"/>
      <c r="D96" s="24"/>
      <c r="E96" s="23"/>
      <c r="F96" s="22"/>
      <c r="G96" s="22"/>
      <c r="H96" s="22"/>
      <c r="I96" s="22"/>
      <c r="J96" s="22"/>
      <c r="K96" s="22"/>
      <c r="L96" s="22"/>
      <c r="M96" s="22"/>
    </row>
    <row r="97" spans="1:13" x14ac:dyDescent="0.2">
      <c r="A97" s="22"/>
      <c r="B97" s="23"/>
      <c r="C97" s="24"/>
      <c r="D97" s="24"/>
      <c r="E97" s="23"/>
      <c r="F97" s="22"/>
      <c r="G97" s="22"/>
      <c r="H97" s="22"/>
      <c r="I97" s="22"/>
      <c r="J97" s="22"/>
      <c r="K97" s="22"/>
      <c r="L97" s="22"/>
      <c r="M97" s="22"/>
    </row>
    <row r="98" spans="1:13" x14ac:dyDescent="0.2">
      <c r="A98" s="22"/>
      <c r="B98" s="23"/>
      <c r="C98" s="24"/>
      <c r="D98" s="24"/>
      <c r="E98" s="23"/>
      <c r="F98" s="22"/>
      <c r="G98" s="22"/>
      <c r="H98" s="22"/>
      <c r="I98" s="22"/>
      <c r="J98" s="22"/>
      <c r="K98" s="22"/>
      <c r="L98" s="22"/>
      <c r="M98" s="22"/>
    </row>
    <row r="99" spans="1:13" x14ac:dyDescent="0.2">
      <c r="A99" s="22"/>
      <c r="B99" s="23"/>
      <c r="C99" s="24"/>
      <c r="D99" s="24"/>
      <c r="E99" s="23"/>
      <c r="F99" s="22"/>
      <c r="G99" s="22"/>
      <c r="H99" s="22"/>
      <c r="I99" s="22"/>
      <c r="J99" s="22"/>
      <c r="K99" s="22"/>
      <c r="L99" s="22"/>
      <c r="M99" s="22"/>
    </row>
    <row r="100" spans="1:13" x14ac:dyDescent="0.2">
      <c r="A100" s="22"/>
      <c r="B100" s="23"/>
      <c r="C100" s="24"/>
      <c r="D100" s="24"/>
      <c r="E100" s="23"/>
      <c r="F100" s="22"/>
      <c r="G100" s="22"/>
      <c r="H100" s="22"/>
      <c r="I100" s="22"/>
      <c r="J100" s="22"/>
      <c r="K100" s="22"/>
      <c r="L100" s="22"/>
      <c r="M100" s="22"/>
    </row>
    <row r="101" spans="1:13" x14ac:dyDescent="0.2">
      <c r="A101" s="22"/>
      <c r="B101" s="23"/>
      <c r="C101" s="24"/>
      <c r="D101" s="24"/>
      <c r="E101" s="23"/>
      <c r="F101" s="22"/>
      <c r="G101" s="22"/>
      <c r="H101" s="22"/>
      <c r="I101" s="22"/>
      <c r="J101" s="22"/>
      <c r="K101" s="22"/>
      <c r="L101" s="22"/>
      <c r="M101" s="22"/>
    </row>
    <row r="102" spans="1:13" x14ac:dyDescent="0.2">
      <c r="A102" s="22"/>
      <c r="B102" s="23"/>
      <c r="C102" s="24"/>
      <c r="D102" s="24"/>
      <c r="E102" s="23"/>
      <c r="F102" s="22"/>
      <c r="G102" s="22"/>
      <c r="H102" s="22"/>
      <c r="I102" s="22"/>
      <c r="J102" s="22"/>
      <c r="K102" s="22"/>
      <c r="L102" s="22"/>
      <c r="M102" s="22"/>
    </row>
    <row r="103" spans="1:13" x14ac:dyDescent="0.2">
      <c r="A103" s="22"/>
      <c r="B103" s="23"/>
      <c r="C103" s="24"/>
      <c r="D103" s="24"/>
      <c r="E103" s="25"/>
      <c r="F103" s="22"/>
      <c r="G103" s="22"/>
      <c r="H103" s="22"/>
      <c r="I103" s="22"/>
      <c r="J103" s="22"/>
      <c r="K103" s="22"/>
      <c r="L103" s="22"/>
      <c r="M103" s="22"/>
    </row>
    <row r="104" spans="1:13" x14ac:dyDescent="0.2">
      <c r="A104" s="22"/>
      <c r="B104" s="23"/>
      <c r="C104" s="24"/>
      <c r="D104" s="24"/>
      <c r="E104" s="25"/>
      <c r="F104" s="22"/>
      <c r="G104" s="22"/>
      <c r="H104" s="22"/>
      <c r="I104" s="22"/>
      <c r="J104" s="22"/>
      <c r="K104" s="22"/>
      <c r="L104" s="22"/>
      <c r="M104" s="22"/>
    </row>
    <row r="105" spans="1:13" x14ac:dyDescent="0.2">
      <c r="A105" s="22"/>
      <c r="B105" s="23"/>
      <c r="C105" s="24"/>
      <c r="D105" s="24"/>
      <c r="E105" s="23"/>
      <c r="F105" s="22"/>
      <c r="G105" s="22"/>
      <c r="H105" s="22"/>
      <c r="I105" s="22"/>
      <c r="J105" s="22"/>
      <c r="K105" s="22"/>
      <c r="L105" s="22"/>
      <c r="M105" s="22"/>
    </row>
    <row r="106" spans="1:13" x14ac:dyDescent="0.2">
      <c r="A106" s="22"/>
      <c r="B106" s="23"/>
      <c r="C106" s="24"/>
      <c r="D106" s="24"/>
      <c r="E106" s="23"/>
      <c r="F106" s="22"/>
      <c r="G106" s="22"/>
      <c r="H106" s="22"/>
      <c r="I106" s="22"/>
      <c r="J106" s="22"/>
      <c r="K106" s="22"/>
      <c r="L106" s="22"/>
      <c r="M106" s="22"/>
    </row>
    <row r="107" spans="1:13" x14ac:dyDescent="0.2">
      <c r="A107" s="22"/>
      <c r="B107" s="23"/>
      <c r="C107" s="24"/>
      <c r="D107" s="24"/>
      <c r="E107" s="23"/>
      <c r="F107" s="22"/>
      <c r="G107" s="22"/>
      <c r="H107" s="22"/>
      <c r="I107" s="22"/>
      <c r="J107" s="22"/>
      <c r="K107" s="22"/>
      <c r="L107" s="22"/>
      <c r="M107" s="22"/>
    </row>
    <row r="108" spans="1:13" x14ac:dyDescent="0.2">
      <c r="A108" s="22"/>
      <c r="B108" s="23"/>
      <c r="C108" s="24"/>
      <c r="D108" s="24"/>
      <c r="E108" s="23"/>
      <c r="F108" s="22"/>
      <c r="G108" s="22"/>
      <c r="H108" s="22"/>
      <c r="I108" s="22"/>
      <c r="J108" s="22"/>
      <c r="K108" s="22"/>
      <c r="L108" s="22"/>
      <c r="M108" s="22"/>
    </row>
    <row r="109" spans="1:13" x14ac:dyDescent="0.2">
      <c r="A109" s="22"/>
      <c r="B109" s="23"/>
      <c r="C109" s="24"/>
      <c r="D109" s="24"/>
      <c r="E109" s="23"/>
      <c r="F109" s="22"/>
      <c r="G109" s="22"/>
      <c r="H109" s="22"/>
      <c r="I109" s="22"/>
      <c r="J109" s="22"/>
      <c r="K109" s="22"/>
      <c r="L109" s="22"/>
      <c r="M109" s="22"/>
    </row>
    <row r="110" spans="1:13" x14ac:dyDescent="0.2">
      <c r="A110" s="22"/>
      <c r="B110" s="23"/>
      <c r="C110" s="24"/>
      <c r="D110" s="24"/>
      <c r="E110" s="23"/>
      <c r="F110" s="22"/>
      <c r="G110" s="22"/>
      <c r="H110" s="22"/>
      <c r="I110" s="22"/>
      <c r="J110" s="22"/>
      <c r="K110" s="22"/>
      <c r="L110" s="22"/>
      <c r="M110" s="22"/>
    </row>
    <row r="111" spans="1:13" x14ac:dyDescent="0.2">
      <c r="A111" s="22"/>
      <c r="B111" s="23"/>
      <c r="C111" s="24"/>
      <c r="D111" s="24"/>
      <c r="E111" s="23"/>
      <c r="F111" s="22"/>
      <c r="G111" s="22"/>
      <c r="H111" s="22"/>
      <c r="I111" s="22"/>
      <c r="J111" s="22"/>
      <c r="K111" s="22"/>
      <c r="L111" s="22"/>
      <c r="M111" s="22"/>
    </row>
    <row r="112" spans="1:13" x14ac:dyDescent="0.2">
      <c r="A112" s="22"/>
      <c r="B112" s="23"/>
      <c r="C112" s="24"/>
      <c r="D112" s="24"/>
      <c r="E112" s="23"/>
      <c r="F112" s="22"/>
      <c r="G112" s="22"/>
      <c r="H112" s="22"/>
      <c r="I112" s="22"/>
      <c r="J112" s="22"/>
      <c r="K112" s="22"/>
      <c r="L112" s="22"/>
      <c r="M112" s="22"/>
    </row>
    <row r="113" spans="1:13" x14ac:dyDescent="0.2">
      <c r="A113" s="22"/>
      <c r="B113" s="23"/>
      <c r="C113" s="24"/>
      <c r="D113" s="24"/>
      <c r="E113" s="23"/>
      <c r="F113" s="22"/>
      <c r="G113" s="22"/>
      <c r="H113" s="22"/>
      <c r="I113" s="22"/>
      <c r="J113" s="22"/>
      <c r="K113" s="22"/>
      <c r="L113" s="22"/>
      <c r="M113" s="22"/>
    </row>
    <row r="114" spans="1:13" x14ac:dyDescent="0.2">
      <c r="A114" s="22"/>
      <c r="B114" s="23"/>
      <c r="C114" s="24"/>
      <c r="D114" s="24"/>
      <c r="E114" s="23"/>
      <c r="F114" s="22"/>
      <c r="G114" s="22"/>
      <c r="H114" s="22"/>
      <c r="I114" s="22"/>
      <c r="J114" s="22"/>
      <c r="K114" s="22"/>
      <c r="L114" s="22"/>
      <c r="M114" s="22"/>
    </row>
    <row r="115" spans="1:13" x14ac:dyDescent="0.2">
      <c r="A115" s="22"/>
      <c r="B115" s="23"/>
      <c r="C115" s="24"/>
      <c r="D115" s="24"/>
      <c r="E115" s="23"/>
      <c r="F115" s="22"/>
      <c r="G115" s="22"/>
      <c r="H115" s="22"/>
      <c r="I115" s="22"/>
      <c r="J115" s="22"/>
      <c r="K115" s="22"/>
      <c r="L115" s="22"/>
      <c r="M115" s="22"/>
    </row>
    <row r="116" spans="1:13" x14ac:dyDescent="0.2">
      <c r="A116" s="22"/>
      <c r="B116" s="23"/>
      <c r="C116" s="24"/>
      <c r="D116" s="24"/>
      <c r="E116" s="23"/>
      <c r="F116" s="22"/>
      <c r="G116" s="22"/>
      <c r="H116" s="22"/>
      <c r="I116" s="22"/>
      <c r="J116" s="22"/>
      <c r="K116" s="22"/>
      <c r="L116" s="22"/>
      <c r="M116" s="22"/>
    </row>
    <row r="117" spans="1:13" x14ac:dyDescent="0.2">
      <c r="A117" s="22"/>
      <c r="B117" s="23"/>
      <c r="C117" s="24"/>
      <c r="D117" s="24"/>
      <c r="E117" s="23"/>
      <c r="F117" s="22"/>
      <c r="G117" s="22"/>
      <c r="H117" s="22"/>
      <c r="I117" s="22"/>
      <c r="J117" s="22"/>
      <c r="K117" s="22"/>
      <c r="L117" s="22"/>
      <c r="M117" s="22"/>
    </row>
    <row r="118" spans="1:13" x14ac:dyDescent="0.2">
      <c r="A118" s="22"/>
      <c r="B118" s="23"/>
      <c r="C118" s="24"/>
      <c r="D118" s="24"/>
      <c r="E118" s="23"/>
      <c r="F118" s="22"/>
      <c r="G118" s="22"/>
      <c r="H118" s="22"/>
      <c r="I118" s="22"/>
      <c r="J118" s="22"/>
      <c r="K118" s="22"/>
      <c r="L118" s="22"/>
      <c r="M118" s="22"/>
    </row>
    <row r="119" spans="1:13" x14ac:dyDescent="0.2">
      <c r="A119" s="22"/>
      <c r="B119" s="23"/>
      <c r="C119" s="24"/>
      <c r="D119" s="24"/>
      <c r="E119" s="25"/>
      <c r="F119" s="22"/>
      <c r="G119" s="22"/>
      <c r="H119" s="22"/>
      <c r="I119" s="22"/>
      <c r="J119" s="22"/>
      <c r="K119" s="22"/>
      <c r="L119" s="22"/>
      <c r="M119" s="22"/>
    </row>
    <row r="120" spans="1:13" x14ac:dyDescent="0.2">
      <c r="A120" s="22"/>
      <c r="B120" s="23"/>
      <c r="C120" s="24"/>
      <c r="D120" s="24"/>
      <c r="E120" s="25"/>
      <c r="F120" s="22"/>
      <c r="G120" s="22"/>
      <c r="H120" s="22"/>
      <c r="I120" s="22"/>
      <c r="J120" s="22"/>
      <c r="K120" s="22"/>
      <c r="L120" s="22"/>
      <c r="M120" s="22"/>
    </row>
    <row r="121" spans="1:13" x14ac:dyDescent="0.2">
      <c r="A121" s="22"/>
      <c r="B121" s="23"/>
      <c r="C121" s="24"/>
      <c r="D121" s="24"/>
      <c r="E121" s="23"/>
      <c r="F121" s="22"/>
      <c r="G121" s="22"/>
      <c r="H121" s="22"/>
      <c r="I121" s="22"/>
      <c r="J121" s="22"/>
      <c r="K121" s="22"/>
      <c r="L121" s="22"/>
      <c r="M121" s="22"/>
    </row>
    <row r="122" spans="1:13" x14ac:dyDescent="0.2">
      <c r="A122" s="22"/>
      <c r="B122" s="23"/>
      <c r="C122" s="24"/>
      <c r="D122" s="24"/>
      <c r="E122" s="23"/>
      <c r="F122" s="22"/>
      <c r="G122" s="22"/>
      <c r="H122" s="22"/>
      <c r="I122" s="22"/>
      <c r="J122" s="22"/>
      <c r="K122" s="22"/>
      <c r="L122" s="22"/>
      <c r="M122" s="22"/>
    </row>
    <row r="123" spans="1:13" x14ac:dyDescent="0.2">
      <c r="A123" s="22"/>
      <c r="B123" s="23"/>
      <c r="C123" s="24"/>
      <c r="D123" s="24"/>
      <c r="E123" s="23"/>
      <c r="F123" s="22"/>
      <c r="G123" s="22"/>
      <c r="H123" s="22"/>
      <c r="I123" s="22"/>
      <c r="J123" s="22"/>
      <c r="K123" s="22"/>
      <c r="L123" s="22"/>
      <c r="M123" s="22"/>
    </row>
    <row r="124" spans="1:13" x14ac:dyDescent="0.2">
      <c r="A124" s="22"/>
      <c r="B124" s="22"/>
      <c r="C124" s="20"/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 spans="1:13" x14ac:dyDescent="0.2">
      <c r="A125" s="22"/>
      <c r="B125" s="22"/>
      <c r="C125" s="20"/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 spans="1:13" x14ac:dyDescent="0.2">
      <c r="A126" s="22"/>
      <c r="B126" s="22"/>
      <c r="C126" s="20"/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 spans="1:13" x14ac:dyDescent="0.2">
      <c r="A127" s="22"/>
      <c r="B127" s="22"/>
      <c r="C127" s="20"/>
      <c r="D127" s="22"/>
      <c r="E127" s="22"/>
      <c r="F127" s="22"/>
      <c r="G127" s="22"/>
      <c r="H127" s="22"/>
      <c r="I127" s="22"/>
      <c r="J127" s="22"/>
      <c r="K127" s="22"/>
      <c r="L127" s="22"/>
      <c r="M127" s="22"/>
    </row>
    <row r="128" spans="1:13" x14ac:dyDescent="0.2">
      <c r="A128" s="22"/>
      <c r="B128" s="22"/>
      <c r="C128" s="20"/>
      <c r="D128" s="22"/>
      <c r="E128" s="22"/>
      <c r="F128" s="22"/>
      <c r="G128" s="22"/>
      <c r="H128" s="22"/>
      <c r="I128" s="22"/>
      <c r="J128" s="22"/>
      <c r="K128" s="22"/>
      <c r="L128" s="22"/>
      <c r="M128" s="22"/>
    </row>
  </sheetData>
  <autoFilter ref="A2:M128" xr:uid="{00000000-0001-0000-0000-000000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C5E6-CD45-4C15-9F11-9C799132EC87}">
  <dimension ref="A2:L28"/>
  <sheetViews>
    <sheetView zoomScale="85" zoomScaleNormal="85" workbookViewId="0">
      <selection activeCell="A15" sqref="A15:A18"/>
    </sheetView>
  </sheetViews>
  <sheetFormatPr baseColWidth="10" defaultColWidth="8.83203125" defaultRowHeight="15" x14ac:dyDescent="0.2"/>
  <cols>
    <col min="1" max="1" width="30.83203125" style="39" customWidth="1"/>
    <col min="2" max="2" width="19.5" bestFit="1" customWidth="1"/>
    <col min="3" max="3" width="19.1640625" bestFit="1" customWidth="1"/>
    <col min="4" max="4" width="22.1640625" bestFit="1" customWidth="1"/>
    <col min="5" max="5" width="23.83203125" bestFit="1" customWidth="1"/>
    <col min="6" max="6" width="38.1640625" customWidth="1"/>
    <col min="7" max="7" width="15.83203125" bestFit="1" customWidth="1"/>
    <col min="8" max="8" width="17.33203125" bestFit="1" customWidth="1"/>
    <col min="9" max="9" width="12.1640625" bestFit="1" customWidth="1"/>
    <col min="10" max="10" width="13.5" bestFit="1" customWidth="1"/>
    <col min="11" max="11" width="50" customWidth="1"/>
    <col min="12" max="12" width="53.6640625" customWidth="1"/>
  </cols>
  <sheetData>
    <row r="2" spans="1:12" ht="16" x14ac:dyDescent="0.2">
      <c r="A2" s="31" t="s">
        <v>504</v>
      </c>
      <c r="B2" s="32" t="s">
        <v>505</v>
      </c>
      <c r="C2" s="32" t="s">
        <v>506</v>
      </c>
      <c r="D2" s="32" t="s">
        <v>507</v>
      </c>
      <c r="E2" s="32" t="s">
        <v>508</v>
      </c>
      <c r="F2" s="32" t="s">
        <v>509</v>
      </c>
      <c r="G2" s="58" t="s">
        <v>510</v>
      </c>
      <c r="H2" s="58"/>
      <c r="I2" s="58" t="s">
        <v>511</v>
      </c>
      <c r="J2" s="58"/>
      <c r="K2" s="32" t="s">
        <v>512</v>
      </c>
      <c r="L2" s="32" t="s">
        <v>513</v>
      </c>
    </row>
    <row r="3" spans="1:12" x14ac:dyDescent="0.2">
      <c r="A3" s="33"/>
      <c r="B3" s="34"/>
      <c r="C3" s="34"/>
      <c r="D3" s="34"/>
      <c r="E3" s="34"/>
      <c r="F3" s="34"/>
      <c r="G3" s="35" t="s">
        <v>514</v>
      </c>
      <c r="H3" s="35" t="s">
        <v>515</v>
      </c>
      <c r="I3" s="35" t="s">
        <v>514</v>
      </c>
      <c r="J3" s="35" t="s">
        <v>515</v>
      </c>
      <c r="K3" s="34"/>
      <c r="L3" s="34"/>
    </row>
    <row r="4" spans="1:12" ht="14.5" customHeight="1" x14ac:dyDescent="0.2">
      <c r="A4" s="57" t="s">
        <v>516</v>
      </c>
      <c r="B4" s="34" t="s">
        <v>517</v>
      </c>
      <c r="C4" s="34" t="s">
        <v>518</v>
      </c>
      <c r="D4" s="34" t="s">
        <v>519</v>
      </c>
      <c r="E4" s="34" t="s">
        <v>520</v>
      </c>
      <c r="F4" s="55" t="s">
        <v>521</v>
      </c>
      <c r="G4" s="36" t="s">
        <v>522</v>
      </c>
      <c r="H4" s="37">
        <v>45267</v>
      </c>
      <c r="I4" s="34"/>
      <c r="J4" s="38">
        <v>53.174740750000005</v>
      </c>
      <c r="K4" s="55" t="s">
        <v>523</v>
      </c>
      <c r="L4" s="55" t="s">
        <v>524</v>
      </c>
    </row>
    <row r="5" spans="1:12" x14ac:dyDescent="0.2">
      <c r="A5" s="57"/>
      <c r="B5" s="34"/>
      <c r="C5" s="34" t="s">
        <v>525</v>
      </c>
      <c r="D5" s="34" t="s">
        <v>526</v>
      </c>
      <c r="E5" s="34"/>
      <c r="F5" s="55"/>
      <c r="G5" s="34"/>
      <c r="H5" s="34"/>
      <c r="I5" s="34"/>
      <c r="J5" s="34"/>
      <c r="K5" s="55"/>
      <c r="L5" s="56"/>
    </row>
    <row r="6" spans="1:12" x14ac:dyDescent="0.2">
      <c r="A6" s="57"/>
      <c r="B6" s="34"/>
      <c r="C6" s="34" t="s">
        <v>527</v>
      </c>
      <c r="D6" s="34"/>
      <c r="E6" s="34"/>
      <c r="F6" s="55"/>
      <c r="G6" s="34"/>
      <c r="H6" s="34"/>
      <c r="I6" s="34"/>
      <c r="J6" s="34"/>
      <c r="K6" s="55"/>
      <c r="L6" s="56"/>
    </row>
    <row r="7" spans="1:12" x14ac:dyDescent="0.2">
      <c r="A7" s="57"/>
      <c r="B7" s="34"/>
      <c r="C7" s="34" t="s">
        <v>528</v>
      </c>
      <c r="D7" s="34"/>
      <c r="E7" s="34"/>
      <c r="F7" s="55"/>
      <c r="G7" s="34"/>
      <c r="H7" s="34"/>
      <c r="I7" s="34"/>
      <c r="J7" s="34"/>
      <c r="K7" s="55"/>
      <c r="L7" s="56"/>
    </row>
    <row r="8" spans="1:12" x14ac:dyDescent="0.2">
      <c r="A8" s="57"/>
      <c r="B8" s="34"/>
      <c r="C8" s="34"/>
      <c r="D8" s="34"/>
      <c r="E8" s="34"/>
      <c r="F8" s="55"/>
      <c r="G8" s="34"/>
      <c r="H8" s="34"/>
      <c r="I8" s="34"/>
      <c r="J8" s="34"/>
      <c r="K8" s="55"/>
      <c r="L8" s="56"/>
    </row>
    <row r="9" spans="1:12" x14ac:dyDescent="0.2">
      <c r="A9" s="57"/>
      <c r="B9" s="34"/>
      <c r="C9" s="34"/>
      <c r="D9" s="34"/>
      <c r="E9" s="34"/>
      <c r="F9" s="55"/>
      <c r="G9" s="34"/>
      <c r="H9" s="34"/>
      <c r="I9" s="34"/>
      <c r="J9" s="34"/>
      <c r="K9" s="55"/>
      <c r="L9" s="56"/>
    </row>
    <row r="10" spans="1:12" x14ac:dyDescent="0.2">
      <c r="A10" s="57" t="s">
        <v>529</v>
      </c>
      <c r="B10" s="34" t="s">
        <v>517</v>
      </c>
      <c r="C10" s="34" t="s">
        <v>518</v>
      </c>
      <c r="D10" s="34" t="s">
        <v>519</v>
      </c>
      <c r="E10" s="34" t="s">
        <v>530</v>
      </c>
      <c r="F10" s="55"/>
      <c r="G10" s="37">
        <v>45633</v>
      </c>
      <c r="H10" s="37">
        <v>45815</v>
      </c>
      <c r="I10" s="34">
        <v>110.5</v>
      </c>
      <c r="J10" s="38">
        <v>53.174740750000005</v>
      </c>
      <c r="K10" s="55" t="s">
        <v>531</v>
      </c>
      <c r="L10" s="55" t="s">
        <v>532</v>
      </c>
    </row>
    <row r="11" spans="1:12" x14ac:dyDescent="0.2">
      <c r="A11" s="57"/>
      <c r="B11" s="34" t="s">
        <v>533</v>
      </c>
      <c r="C11" s="34" t="s">
        <v>525</v>
      </c>
      <c r="D11" s="34" t="s">
        <v>526</v>
      </c>
      <c r="E11" s="34" t="s">
        <v>534</v>
      </c>
      <c r="F11" s="55"/>
      <c r="G11" s="34"/>
      <c r="H11" s="34"/>
      <c r="I11" s="34"/>
      <c r="J11" s="34"/>
      <c r="K11" s="55"/>
      <c r="L11" s="56"/>
    </row>
    <row r="12" spans="1:12" x14ac:dyDescent="0.2">
      <c r="A12" s="57"/>
      <c r="B12" s="34"/>
      <c r="C12" s="34" t="s">
        <v>527</v>
      </c>
      <c r="D12" s="34"/>
      <c r="E12" s="34"/>
      <c r="F12" s="55"/>
      <c r="G12" s="34"/>
      <c r="H12" s="34"/>
      <c r="I12" s="34"/>
      <c r="J12" s="34"/>
      <c r="K12" s="55"/>
      <c r="L12" s="56"/>
    </row>
    <row r="13" spans="1:12" x14ac:dyDescent="0.2">
      <c r="A13" s="57"/>
      <c r="B13" s="34"/>
      <c r="C13" s="34" t="s">
        <v>528</v>
      </c>
      <c r="D13" s="34"/>
      <c r="E13" s="34"/>
      <c r="F13" s="55"/>
      <c r="G13" s="34"/>
      <c r="H13" s="34"/>
      <c r="I13" s="34"/>
      <c r="J13" s="34"/>
      <c r="K13" s="55"/>
      <c r="L13" s="56"/>
    </row>
    <row r="14" spans="1:12" x14ac:dyDescent="0.2">
      <c r="A14" s="57"/>
      <c r="B14" s="34"/>
      <c r="C14" s="34"/>
      <c r="D14" s="34"/>
      <c r="E14" s="34"/>
      <c r="F14" s="55"/>
      <c r="G14" s="34"/>
      <c r="H14" s="34"/>
      <c r="I14" s="34"/>
      <c r="J14" s="34"/>
      <c r="K14" s="55"/>
      <c r="L14" s="56"/>
    </row>
    <row r="15" spans="1:12" x14ac:dyDescent="0.2">
      <c r="A15" s="57" t="s">
        <v>535</v>
      </c>
      <c r="B15" s="34" t="s">
        <v>517</v>
      </c>
      <c r="C15" s="34" t="s">
        <v>518</v>
      </c>
      <c r="D15" s="34" t="s">
        <v>519</v>
      </c>
      <c r="E15" s="34" t="s">
        <v>520</v>
      </c>
      <c r="F15" s="55"/>
      <c r="G15" s="37">
        <v>46272</v>
      </c>
      <c r="H15" s="37">
        <v>46453</v>
      </c>
      <c r="I15" s="34">
        <v>276.3</v>
      </c>
      <c r="J15" s="38">
        <v>132.936851875</v>
      </c>
      <c r="K15" s="55" t="s">
        <v>536</v>
      </c>
      <c r="L15" s="55" t="s">
        <v>537</v>
      </c>
    </row>
    <row r="16" spans="1:12" x14ac:dyDescent="0.2">
      <c r="A16" s="57"/>
      <c r="B16" s="34" t="s">
        <v>538</v>
      </c>
      <c r="C16" s="34" t="s">
        <v>525</v>
      </c>
      <c r="D16" s="34" t="s">
        <v>526</v>
      </c>
      <c r="E16" s="34"/>
      <c r="F16" s="55"/>
      <c r="G16" s="34"/>
      <c r="H16" s="34"/>
      <c r="I16" s="34"/>
      <c r="J16" s="38"/>
      <c r="K16" s="55"/>
      <c r="L16" s="56"/>
    </row>
    <row r="17" spans="1:12" x14ac:dyDescent="0.2">
      <c r="A17" s="57"/>
      <c r="B17" s="34"/>
      <c r="C17" s="34" t="s">
        <v>527</v>
      </c>
      <c r="D17" s="34"/>
      <c r="E17" s="34"/>
      <c r="F17" s="55"/>
      <c r="G17" s="34"/>
      <c r="H17" s="34"/>
      <c r="I17" s="34"/>
      <c r="J17" s="38"/>
      <c r="K17" s="55"/>
      <c r="L17" s="56"/>
    </row>
    <row r="18" spans="1:12" x14ac:dyDescent="0.2">
      <c r="A18" s="57"/>
      <c r="B18" s="34"/>
      <c r="C18" s="34" t="s">
        <v>528</v>
      </c>
      <c r="D18" s="34"/>
      <c r="E18" s="34"/>
      <c r="F18" s="55"/>
      <c r="G18" s="34"/>
      <c r="H18" s="34"/>
      <c r="I18" s="34"/>
      <c r="J18" s="38"/>
      <c r="K18" s="55"/>
      <c r="L18" s="56"/>
    </row>
    <row r="19" spans="1:12" ht="32" x14ac:dyDescent="0.2">
      <c r="A19" s="57" t="s">
        <v>539</v>
      </c>
      <c r="B19" s="34" t="s">
        <v>517</v>
      </c>
      <c r="C19" s="34" t="s">
        <v>540</v>
      </c>
      <c r="D19" s="34" t="s">
        <v>519</v>
      </c>
      <c r="E19" s="33" t="s">
        <v>541</v>
      </c>
      <c r="F19" s="55"/>
      <c r="G19" s="37">
        <v>46453</v>
      </c>
      <c r="H19" s="37">
        <v>46637</v>
      </c>
      <c r="I19" s="34">
        <v>276.3</v>
      </c>
      <c r="J19" s="38">
        <v>132.936851875</v>
      </c>
      <c r="K19" s="56"/>
      <c r="L19" s="56"/>
    </row>
    <row r="20" spans="1:12" x14ac:dyDescent="0.2">
      <c r="A20" s="57"/>
      <c r="B20" s="34"/>
      <c r="C20" s="34"/>
      <c r="D20" s="34"/>
      <c r="E20" s="34"/>
      <c r="F20" s="55"/>
      <c r="G20" s="34"/>
      <c r="H20" s="34"/>
      <c r="I20" s="34"/>
      <c r="J20" s="34"/>
      <c r="K20" s="56"/>
      <c r="L20" s="56"/>
    </row>
    <row r="21" spans="1:12" x14ac:dyDescent="0.2">
      <c r="A21" s="57" t="s">
        <v>542</v>
      </c>
      <c r="B21" s="34" t="s">
        <v>517</v>
      </c>
      <c r="C21" s="34" t="s">
        <v>540</v>
      </c>
      <c r="D21" s="34" t="s">
        <v>519</v>
      </c>
      <c r="E21" s="34" t="s">
        <v>543</v>
      </c>
      <c r="F21" s="55"/>
      <c r="G21" s="34" t="s">
        <v>544</v>
      </c>
      <c r="H21" s="34" t="s">
        <v>544</v>
      </c>
      <c r="I21" s="34"/>
      <c r="J21" s="34"/>
      <c r="K21" s="55" t="s">
        <v>545</v>
      </c>
      <c r="L21" s="55" t="s">
        <v>546</v>
      </c>
    </row>
    <row r="22" spans="1:12" ht="93" customHeight="1" x14ac:dyDescent="0.2">
      <c r="A22" s="57"/>
      <c r="B22" s="34"/>
      <c r="C22" s="34"/>
      <c r="D22" s="34" t="s">
        <v>526</v>
      </c>
      <c r="E22" s="34"/>
      <c r="F22" s="55"/>
      <c r="G22" s="34"/>
      <c r="H22" s="34"/>
      <c r="I22" s="34"/>
      <c r="J22" s="34"/>
      <c r="K22" s="56"/>
      <c r="L22" s="56"/>
    </row>
    <row r="23" spans="1:12" x14ac:dyDescent="0.2">
      <c r="A23" s="57" t="s">
        <v>547</v>
      </c>
      <c r="B23" s="34" t="s">
        <v>517</v>
      </c>
      <c r="C23" s="34" t="s">
        <v>540</v>
      </c>
      <c r="D23" s="34" t="s">
        <v>519</v>
      </c>
      <c r="E23" s="34" t="s">
        <v>538</v>
      </c>
      <c r="F23" s="55"/>
      <c r="G23" s="34" t="s">
        <v>544</v>
      </c>
      <c r="H23" s="34" t="s">
        <v>544</v>
      </c>
      <c r="I23" s="34"/>
      <c r="J23" s="34"/>
      <c r="K23" s="55" t="s">
        <v>548</v>
      </c>
      <c r="L23" s="55" t="s">
        <v>549</v>
      </c>
    </row>
    <row r="24" spans="1:12" ht="31.25" customHeight="1" x14ac:dyDescent="0.2">
      <c r="A24" s="57"/>
      <c r="B24" s="34"/>
      <c r="C24" s="34"/>
      <c r="D24" s="34" t="s">
        <v>526</v>
      </c>
      <c r="E24" s="34"/>
      <c r="F24" s="55"/>
      <c r="G24" s="34"/>
      <c r="H24" s="34"/>
      <c r="I24" s="34"/>
      <c r="J24" s="34"/>
      <c r="K24" s="56"/>
      <c r="L24" s="56"/>
    </row>
    <row r="25" spans="1:12" x14ac:dyDescent="0.2">
      <c r="A25" s="59" t="s">
        <v>550</v>
      </c>
      <c r="B25" s="34" t="s">
        <v>517</v>
      </c>
      <c r="C25" s="34" t="s">
        <v>540</v>
      </c>
      <c r="D25" s="34" t="s">
        <v>519</v>
      </c>
      <c r="E25" s="34" t="s">
        <v>551</v>
      </c>
      <c r="F25" s="55"/>
      <c r="G25" s="34" t="s">
        <v>544</v>
      </c>
      <c r="H25" s="34" t="s">
        <v>544</v>
      </c>
      <c r="I25" s="34"/>
      <c r="J25" s="34"/>
      <c r="K25" s="61" t="s">
        <v>552</v>
      </c>
      <c r="L25" s="61" t="s">
        <v>553</v>
      </c>
    </row>
    <row r="26" spans="1:12" x14ac:dyDescent="0.2">
      <c r="A26" s="60"/>
      <c r="B26" s="34"/>
      <c r="C26" s="34"/>
      <c r="D26" s="34" t="s">
        <v>526</v>
      </c>
      <c r="E26" s="34"/>
      <c r="F26" s="55"/>
      <c r="G26" s="34"/>
      <c r="H26" s="34"/>
      <c r="I26" s="34"/>
      <c r="J26" s="34"/>
      <c r="K26" s="62"/>
      <c r="L26" s="63"/>
    </row>
    <row r="27" spans="1:12" ht="17.5" customHeight="1" x14ac:dyDescent="0.2">
      <c r="A27" s="57" t="s">
        <v>554</v>
      </c>
      <c r="B27" s="34" t="s">
        <v>555</v>
      </c>
      <c r="C27" s="34" t="s">
        <v>540</v>
      </c>
      <c r="D27" s="34" t="s">
        <v>519</v>
      </c>
      <c r="E27" s="34" t="s">
        <v>556</v>
      </c>
      <c r="F27" s="55"/>
      <c r="G27" s="34" t="s">
        <v>544</v>
      </c>
      <c r="H27" s="34" t="s">
        <v>544</v>
      </c>
      <c r="I27" s="34"/>
      <c r="J27" s="34"/>
      <c r="K27" s="56" t="s">
        <v>557</v>
      </c>
      <c r="L27" s="55" t="s">
        <v>558</v>
      </c>
    </row>
    <row r="28" spans="1:12" x14ac:dyDescent="0.2">
      <c r="A28" s="57"/>
      <c r="B28" s="34" t="s">
        <v>517</v>
      </c>
      <c r="C28" s="34"/>
      <c r="D28" s="34" t="s">
        <v>526</v>
      </c>
      <c r="E28" s="34"/>
      <c r="F28" s="55"/>
      <c r="G28" s="34"/>
      <c r="H28" s="34"/>
      <c r="I28" s="34"/>
      <c r="J28" s="34"/>
      <c r="K28" s="56"/>
      <c r="L28" s="55"/>
    </row>
  </sheetData>
  <mergeCells count="27">
    <mergeCell ref="L19:L20"/>
    <mergeCell ref="A27:A28"/>
    <mergeCell ref="K27:K28"/>
    <mergeCell ref="L27:L28"/>
    <mergeCell ref="A23:A24"/>
    <mergeCell ref="K23:K24"/>
    <mergeCell ref="L23:L24"/>
    <mergeCell ref="A25:A26"/>
    <mergeCell ref="K25:K26"/>
    <mergeCell ref="L25:L26"/>
    <mergeCell ref="A21:A22"/>
    <mergeCell ref="K21:K22"/>
    <mergeCell ref="L21:L22"/>
    <mergeCell ref="G2:H2"/>
    <mergeCell ref="I2:J2"/>
    <mergeCell ref="A4:A9"/>
    <mergeCell ref="F4:F28"/>
    <mergeCell ref="K4:K9"/>
    <mergeCell ref="A19:A20"/>
    <mergeCell ref="K19:K20"/>
    <mergeCell ref="L4:L9"/>
    <mergeCell ref="A10:A14"/>
    <mergeCell ref="K10:K14"/>
    <mergeCell ref="L10:L14"/>
    <mergeCell ref="A15:A18"/>
    <mergeCell ref="K15:K18"/>
    <mergeCell ref="L15:L1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4F24B3ADD89E4EA580AB06B3237DAD" ma:contentTypeVersion="16" ma:contentTypeDescription="Create a new document." ma:contentTypeScope="" ma:versionID="2a1d02fe26024362f48a596892f7c6c2">
  <xsd:schema xmlns:xsd="http://www.w3.org/2001/XMLSchema" xmlns:xs="http://www.w3.org/2001/XMLSchema" xmlns:p="http://schemas.microsoft.com/office/2006/metadata/properties" xmlns:ns1="http://schemas.microsoft.com/sharepoint/v3" xmlns:ns2="693c1274-931f-4063-a9ac-cf84287af2b4" xmlns:ns3="d2b09c24-169d-4966-a876-e20d9ff36127" targetNamespace="http://schemas.microsoft.com/office/2006/metadata/properties" ma:root="true" ma:fieldsID="f2b45205c097f78fc7ee243586ee457d" ns1:_="" ns2:_="" ns3:_="">
    <xsd:import namespace="http://schemas.microsoft.com/sharepoint/v3"/>
    <xsd:import namespace="693c1274-931f-4063-a9ac-cf84287af2b4"/>
    <xsd:import namespace="d2b09c24-169d-4966-a876-e20d9ff36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3c1274-931f-4063-a9ac-cf84287af2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09c24-169d-4966-a876-e20d9ff3612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88c78e7-4421-42c1-b215-c384b0728775}" ma:internalName="TaxCatchAll" ma:showField="CatchAllData" ma:web="d2b09c24-169d-4966-a876-e20d9ff36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93c1274-931f-4063-a9ac-cf84287af2b4">
      <Terms xmlns="http://schemas.microsoft.com/office/infopath/2007/PartnerControls"/>
    </lcf76f155ced4ddcb4097134ff3c332f>
    <TaxCatchAll xmlns="d2b09c24-169d-4966-a876-e20d9ff36127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83DE3-D050-415F-863B-AA41AECE04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93c1274-931f-4063-a9ac-cf84287af2b4"/>
    <ds:schemaRef ds:uri="d2b09c24-169d-4966-a876-e20d9ff36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0A70E9-B411-4805-B308-A99CFB1A3E2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93c1274-931f-4063-a9ac-cf84287af2b4"/>
    <ds:schemaRef ds:uri="d2b09c24-169d-4966-a876-e20d9ff36127"/>
  </ds:schemaRefs>
</ds:datastoreItem>
</file>

<file path=customXml/itemProps3.xml><?xml version="1.0" encoding="utf-8"?>
<ds:datastoreItem xmlns:ds="http://schemas.openxmlformats.org/officeDocument/2006/customXml" ds:itemID="{BB7C9CB0-DC42-494F-9E55-6313EDFDD4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BP</vt:lpstr>
      <vt:lpstr>BW_</vt:lpstr>
      <vt:lpstr>Partner Onboarding</vt:lpstr>
      <vt:lpstr>Support Activities </vt:lpstr>
      <vt:lpstr>HO Core Team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B.K. MAHATO</dc:creator>
  <cp:lastModifiedBy>RAKESH PRADIPKUMAR RANJAN</cp:lastModifiedBy>
  <dcterms:created xsi:type="dcterms:W3CDTF">2015-06-05T18:17:20Z</dcterms:created>
  <dcterms:modified xsi:type="dcterms:W3CDTF">2026-10-14T16:41:12Z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2023-07-19T06:35:44Z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47a2ba22-46b4-4983-bf56-77ca6906cc0c</vt:lpwstr>
  </property>
  <property fmtid="{D5CDD505-2E9C-101B-9397-08002B2CF9AE}" pid="8" name="MSIP_Label_b0d5c4f4-7a29-4385-b7a5-afbe2154ae6f_ContentBits">
    <vt:lpwstr>0</vt:lpwstr>
  </property>
  <property fmtid="{D5CDD505-2E9C-101B-9397-08002B2CF9AE}" pid="9" name="bcgClassification">
    <vt:lpwstr>bcgConfidential</vt:lpwstr>
  </property>
  <property fmtid="{D5CDD505-2E9C-101B-9397-08002B2CF9AE}" pid="10" name="ContentTypeId">
    <vt:lpwstr>0x010100444F24B3ADD89E4EA580AB06B3237DAD</vt:lpwstr>
  </property>
</Properties>
</file>